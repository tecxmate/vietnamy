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 List" sheetId="1" state="visible" r:id="rId3"/>
    <sheet name="Summary" sheetId="2" state="visible" r:id="rId4"/>
  </sheets>
  <definedNames>
    <definedName function="false" hidden="true" localSheetId="0" name="_xlnm._FilterDatabase" vbProcedure="false">'Function List'!$A$4:$M$82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<sst xmlns="http://schemas.openxmlformats.org/spreadsheetml/2006/main" count="912" uniqueCount="469">
  <si>
    <t xml:space="preserve">Vietnamy — Function List (Danh sách chức năng) · EN / VI</t>
  </si>
  <si>
    <t xml:space="preserve">Mobile-first Vietnamese learning app. Status = current web app; Port Phase = suggested native rollout (P1 core → P3 later). Source: codebase + docs, Jun 2026.</t>
  </si>
  <si>
    <t xml:space="preserve">ID</t>
  </si>
  <si>
    <t xml:space="preserve">Module (EN)</t>
  </si>
  <si>
    <t xml:space="preserve">Mô-đun (VI)</t>
  </si>
  <si>
    <t xml:space="preserve">Feature (EN)</t>
  </si>
  <si>
    <t xml:space="preserve">Chức năng (VI)</t>
  </si>
  <si>
    <t xml:space="preserve">Description (EN)</t>
  </si>
  <si>
    <t xml:space="preserve">Mô tả (VI)</t>
  </si>
  <si>
    <t xml:space="preserve">Role</t>
  </si>
  <si>
    <t xml:space="preserve">Status</t>
  </si>
  <si>
    <t xml:space="preserve">Port Phase</t>
  </si>
  <si>
    <t xml:space="preserve">Priority</t>
  </si>
  <si>
    <t xml:space="preserve">Est. Hours (native port)</t>
  </si>
  <si>
    <t xml:space="preserve">Notes</t>
  </si>
  <si>
    <t xml:space="preserve">A-01</t>
  </si>
  <si>
    <t xml:space="preserve">Accounts &amp; Onboarding</t>
  </si>
  <si>
    <t xml:space="preserve">Tài khoản &amp; Khởi tạo</t>
  </si>
  <si>
    <t xml:space="preserve">Onboarding wizard</t>
  </si>
  <si>
    <t xml:space="preserve">Trình khởi tạo lần đầu</t>
  </si>
  <si>
    <t xml:space="preserve">5-step setup: sign-in, name, goal, dialect/voice, level &amp; daily goal.</t>
  </si>
  <si>
    <t xml:space="preserve">Thiết lập 5 bước: đăng nhập, tên, mục tiêu, giọng/phương ngữ, trình độ &amp; mục tiêu hằng ngày.</t>
  </si>
  <si>
    <t xml:space="preserve">Learner</t>
  </si>
  <si>
    <t xml:space="preserve">Built</t>
  </si>
  <si>
    <t xml:space="preserve">P1</t>
  </si>
  <si>
    <t xml:space="preserve">P0</t>
  </si>
  <si>
    <t xml:space="preserve">A-02</t>
  </si>
  <si>
    <t xml:space="preserve">Supabase auth (sign-in)</t>
  </si>
  <si>
    <t xml:space="preserve">Đăng nhập (Supabase)</t>
  </si>
  <si>
    <t xml:space="preserve">Optional OAuth/email sign-in for cross-device sync.</t>
  </si>
  <si>
    <t xml:space="preserve">Đăng nhập OAuth/email tùy chọn để đồng bộ đa thiết bị.</t>
  </si>
  <si>
    <t xml:space="preserve">Native SDK</t>
  </si>
  <si>
    <t xml:space="preserve">A-03</t>
  </si>
  <si>
    <t xml:space="preserve">Offline / local mode</t>
  </si>
  <si>
    <t xml:space="preserve">Chế độ ngoại tuyến</t>
  </si>
  <si>
    <t xml:space="preserve">App runs fully without an account (local-dev user).</t>
  </si>
  <si>
    <t xml:space="preserve">Ứng dụng chạy hoàn toàn không cần tài khoản (người dùng cục bộ).</t>
  </si>
  <si>
    <t xml:space="preserve">A-04</t>
  </si>
  <si>
    <t xml:space="preserve">User profile</t>
  </si>
  <si>
    <t xml:space="preserve">Hồ sơ người dùng</t>
  </si>
  <si>
    <t xml:space="preserve">Name, age, dialect, native language, learner mode, goal.</t>
  </si>
  <si>
    <t xml:space="preserve">Tên, tuổi, phương ngữ, tiếng mẹ đẻ, chế độ học, mục tiêu.</t>
  </si>
  <si>
    <t xml:space="preserve">A-05</t>
  </si>
  <si>
    <t xml:space="preserve">Cloud progress sync</t>
  </si>
  <si>
    <t xml:space="preserve">Đồng bộ tiến độ đám mây</t>
  </si>
  <si>
    <t xml:space="preserve">Hydrate/back up local progress to Supabase user_progress.</t>
  </si>
  <si>
    <t xml:space="preserve">Tải/lưu tiến độ cục bộ lên Supabase (user_progress).</t>
  </si>
  <si>
    <t xml:space="preserve">A-06</t>
  </si>
  <si>
    <t xml:space="preserve">App tutorial overlay</t>
  </si>
  <si>
    <t xml:space="preserve">Lớp hướng dẫn ứng dụng</t>
  </si>
  <si>
    <t xml:space="preserve">First-run coach marks pointing to the first node.</t>
  </si>
  <si>
    <t xml:space="preserve">Hướng dẫn lần đầu chỉ tới nút học đầu tiên.</t>
  </si>
  <si>
    <t xml:space="preserve">P2</t>
  </si>
  <si>
    <t xml:space="preserve">A-07</t>
  </si>
  <si>
    <t xml:space="preserve">Tone teaser hook</t>
  </si>
  <si>
    <t xml:space="preserve">Trải nghiệm thử thanh điệu</t>
  </si>
  <si>
    <t xml:space="preserve">60-sec 'can you hear it' tone teaser in onboarding.</t>
  </si>
  <si>
    <t xml:space="preserve">Đoạn thử nghe thanh điệu 60 giây trong khởi tạo.</t>
  </si>
  <si>
    <t xml:space="preserve">Planned</t>
  </si>
  <si>
    <t xml:space="preserve">From LEARN_APP_FLOW</t>
  </si>
  <si>
    <t xml:space="preserve">A-08</t>
  </si>
  <si>
    <t xml:space="preserve">Placement micro-quiz</t>
  </si>
  <si>
    <t xml:space="preserve">Bài kiểm tra xếp lớp ngắn</t>
  </si>
  <si>
    <t xml:space="preserve">Replace self-rated level with a 3-question placement.</t>
  </si>
  <si>
    <t xml:space="preserve">Thay tự đánh giá trình độ bằng 3 câu xếp lớp.</t>
  </si>
  <si>
    <t xml:space="preserve">B-01</t>
  </si>
  <si>
    <t xml:space="preserve">Learning Roadmap</t>
  </si>
  <si>
    <t xml:space="preserve">Lộ trình học</t>
  </si>
  <si>
    <t xml:space="preserve">Skill-tree roadmap (Study tab)</t>
  </si>
  <si>
    <t xml:space="preserve">Lộ trình dạng cây kỹ năng</t>
  </si>
  <si>
    <t xml:space="preserve">Duolingo-style tree of units &amp; nodes.</t>
  </si>
  <si>
    <t xml:space="preserve">Cây đơn vị &amp; nút học kiểu Duolingo.</t>
  </si>
  <si>
    <t xml:space="preserve">B-02</t>
  </si>
  <si>
    <t xml:space="preserve">Node unlock rules</t>
  </si>
  <si>
    <t xml:space="preserve">Quy tắc mở khoá nút</t>
  </si>
  <si>
    <t xml:space="preserve">Prerequisite gating via unlock_rule.</t>
  </si>
  <si>
    <t xml:space="preserve">Khoá theo điều kiện tiên quyết (unlock_rule).</t>
  </si>
  <si>
    <t xml:space="preserve">B-03</t>
  </si>
  <si>
    <t xml:space="preserve">4 module kinds</t>
  </si>
  <si>
    <t xml:space="preserve">4 loại mô-đun</t>
  </si>
  <si>
    <t xml:space="preserve">Pronunciation / Vocabulary / Grammar / Test nodes.</t>
  </si>
  <si>
    <t xml:space="preserve">Nút Phát âm / Từ vựng / Ngữ pháp / Kiểm tra.</t>
  </si>
  <si>
    <t xml:space="preserve">moduleKinds.js</t>
  </si>
  <si>
    <t xml:space="preserve">B-04</t>
  </si>
  <si>
    <t xml:space="preserve">Unit tests</t>
  </si>
  <si>
    <t xml:space="preserve">Bài kiểm tra đơn vị</t>
  </si>
  <si>
    <t xml:space="preserve">End-of-unit test node gating progress.</t>
  </si>
  <si>
    <t xml:space="preserve">Nút kiểm tra cuối đơn vị, chặn tiến độ.</t>
  </si>
  <si>
    <t xml:space="preserve">B-05</t>
  </si>
  <si>
    <t xml:space="preserve">Roleplay scenes</t>
  </si>
  <si>
    <t xml:space="preserve">Cảnh nhập vai</t>
  </si>
  <si>
    <t xml:space="preserve">Scene-based practice (SceneEngine).</t>
  </si>
  <si>
    <t xml:space="preserve">Luyện tập theo cảnh (SceneEngine).</t>
  </si>
  <si>
    <t xml:space="preserve">B-06</t>
  </si>
  <si>
    <t xml:space="preserve">Per-lesson mini-quiz</t>
  </si>
  <si>
    <t xml:space="preserve">Bài kiểm tra nhỏ mỗi bài</t>
  </si>
  <si>
    <t xml:space="preserve">Auto mini-quiz attached to vocab lessons.</t>
  </si>
  <si>
    <t xml:space="preserve">Bài kiểm tra nhỏ tự gắn vào bài từ vựng.</t>
  </si>
  <si>
    <t xml:space="preserve">B-07</t>
  </si>
  <si>
    <t xml:space="preserve">Progress / streak / coins header</t>
  </si>
  <si>
    <t xml:space="preserve">Thanh tiến độ / chuỗi / xu</t>
  </si>
  <si>
    <t xml:space="preserve">Roadmap header shows XP, streak, coins.</t>
  </si>
  <si>
    <t xml:space="preserve">Đầu trang lộ trình hiện XP, chuỗi ngày, xu.</t>
  </si>
  <si>
    <t xml:space="preserve">C-01</t>
  </si>
  <si>
    <t xml:space="preserve">Lesson Engine</t>
  </si>
  <si>
    <t xml:space="preserve">Hệ thống bài học</t>
  </si>
  <si>
    <t xml:space="preserve">Interactive lesson player</t>
  </si>
  <si>
    <t xml:space="preserve">Trình chơi bài học tương tác</t>
  </si>
  <si>
    <t xml:space="preserve">LessonGame engine runs an exercise session.</t>
  </si>
  <si>
    <t xml:space="preserve">Bộ máy LessonGame chạy một phiên bài tập.</t>
  </si>
  <si>
    <t xml:space="preserve">C-02</t>
  </si>
  <si>
    <t xml:space="preserve">10 exercise types</t>
  </si>
  <si>
    <t xml:space="preserve">10 loại bài tập</t>
  </si>
  <si>
    <t xml:space="preserve">MCQ (to/from VI), listen-choose, listen-type, match pairs, reorder, fill blank, word bank, picture choice, speak.</t>
  </si>
  <si>
    <t xml:space="preserve">Trắc nghiệm (Việt↔Anh), nghe-chọn, nghe-gõ, ghép cặp, sắp xếp, điền khuyết, ngân hàng từ, chọn ảnh, nói.</t>
  </si>
  <si>
    <t xml:space="preserve">C-03</t>
  </si>
  <si>
    <t xml:space="preserve">Vocab intro cards</t>
  </si>
  <si>
    <t xml:space="preserve">Thẻ giới thiệu từ vựng</t>
  </si>
  <si>
    <t xml:space="preserve">Word + image + audio teaching cards (Act 1).</t>
  </si>
  <si>
    <t xml:space="preserve">Thẻ dạy từ + hình + âm thanh (Màn 1).</t>
  </si>
  <si>
    <t xml:space="preserve">C-04</t>
  </si>
  <si>
    <t xml:space="preserve">In-lesson streak tracking</t>
  </si>
  <si>
    <t xml:space="preserve">Theo dõi chuỗi trong bài</t>
  </si>
  <si>
    <t xml:space="preserve">Combo/streak counter during a session.</t>
  </si>
  <si>
    <t xml:space="preserve">Bộ đếm chuỗi đúng liên tiếp trong phiên.</t>
  </si>
  <si>
    <t xml:space="preserve">C-05</t>
  </si>
  <si>
    <t xml:space="preserve">Reward &amp; SRS hand-off</t>
  </si>
  <si>
    <t xml:space="preserve">Thưởng &amp; chuyển sang ôn tập</t>
  </si>
  <si>
    <t xml:space="preserve">Award XP/coins, push learned words to SRS (Act 3).</t>
  </si>
  <si>
    <t xml:space="preserve">Thưởng XP/xu, đẩy từ đã học vào SRS (Màn 3).</t>
  </si>
  <si>
    <t xml:space="preserve">C-06</t>
  </si>
  <si>
    <t xml:space="preserve">Grammar tip chip</t>
  </si>
  <si>
    <t xml:space="preserve">Gợi ý ngữ pháp (chip)</t>
  </si>
  <si>
    <t xml:space="preserve">In-context expandable grammar tip from note/tag.</t>
  </si>
  <si>
    <t xml:space="preserve">Gợi ý ngữ pháp mở rộng tại chỗ từ note/tag.</t>
  </si>
  <si>
    <t xml:space="preserve">C-07</t>
  </si>
  <si>
    <t xml:space="preserve">Lesson notebook</t>
  </si>
  <si>
    <t xml:space="preserve">Sổ tay bài học</t>
  </si>
  <si>
    <t xml:space="preserve">Slide-over of all words/tips taught so far.</t>
  </si>
  <si>
    <t xml:space="preserve">Bảng trượt liệt kê mọi từ/gợi ý đã học.</t>
  </si>
  <si>
    <t xml:space="preserve">C-08</t>
  </si>
  <si>
    <t xml:space="preserve">Grammar unit lesson</t>
  </si>
  <si>
    <t xml:space="preserve">Bài học đơn vị ngữ pháp</t>
  </si>
  <si>
    <t xml:space="preserve">Dedicated grammar unit player.</t>
  </si>
  <si>
    <t xml:space="preserve">Trình chơi bài đơn vị ngữ pháp riêng.</t>
  </si>
  <si>
    <t xml:space="preserve">D-01</t>
  </si>
  <si>
    <t xml:space="preserve">Practice Modules</t>
  </si>
  <si>
    <t xml:space="preserve">Mô-đun luyện tập</t>
  </si>
  <si>
    <t xml:space="preserve">Tones (marks basic/special/master)</t>
  </si>
  <si>
    <t xml:space="preserve">Thanh điệu (dấu cơ bản/đặc biệt/nâng cao)</t>
  </si>
  <si>
    <t xml:space="preserve">Tone-mark recognition drills.</t>
  </si>
  <si>
    <t xml:space="preserve">Bài luyện nhận biết dấu thanh.</t>
  </si>
  <si>
    <t xml:space="preserve">D-02</t>
  </si>
  <si>
    <t xml:space="preserve">Tone node lessons + pitch graph</t>
  </si>
  <si>
    <t xml:space="preserve">Bài thanh điệu + đồ thị cao độ</t>
  </si>
  <si>
    <t xml:space="preserve">By-ear tone training with pitch visualization.</t>
  </si>
  <si>
    <t xml:space="preserve">Luyện thanh bằng tai kèm trực quan cao độ.</t>
  </si>
  <si>
    <t xml:space="preserve">Web Audio → native</t>
  </si>
  <si>
    <t xml:space="preserve">D-03</t>
  </si>
  <si>
    <t xml:space="preserve">Vowels (single 1/2, diphthongs 1/2/3)</t>
  </si>
  <si>
    <t xml:space="preserve">Nguyên âm (đơn 1/2, đôi 1/2/3)</t>
  </si>
  <si>
    <t xml:space="preserve">Vowel-quality drills incl. ơ ư ê ô ă â.</t>
  </si>
  <si>
    <t xml:space="preserve">Bài luyện chất nguyên âm gồm ơ ư ê ô ă â.</t>
  </si>
  <si>
    <t xml:space="preserve">D-04</t>
  </si>
  <si>
    <t xml:space="preserve">Alphabet</t>
  </si>
  <si>
    <t xml:space="preserve">Bảng chữ cái</t>
  </si>
  <si>
    <t xml:space="preserve">Vietnamese alphabet drill.</t>
  </si>
  <si>
    <t xml:space="preserve">Bài luyện bảng chữ cái tiếng Việt.</t>
  </si>
  <si>
    <t xml:space="preserve">D-05</t>
  </si>
  <si>
    <t xml:space="preserve">Consonants (initial &amp; final)</t>
  </si>
  <si>
    <t xml:space="preserve">Phụ âm (đầu &amp; cuối)</t>
  </si>
  <si>
    <t xml:space="preserve">Initial and final consonant drills.</t>
  </si>
  <si>
    <t xml:space="preserve">Bài luyện phụ âm đầu và phụ âm cuối.</t>
  </si>
  <si>
    <t xml:space="preserve">D-06</t>
  </si>
  <si>
    <t xml:space="preserve">Numbers (1/2/3)</t>
  </si>
  <si>
    <t xml:space="preserve">Số đếm (1/2/3)</t>
  </si>
  <si>
    <t xml:space="preserve">Counting, prices, time, ages.</t>
  </si>
  <si>
    <t xml:space="preserve">Đếm số, giá tiền, thời gian, tuổi.</t>
  </si>
  <si>
    <t xml:space="preserve">D-07</t>
  </si>
  <si>
    <t xml:space="preserve">Pronouns &amp; kinship</t>
  </si>
  <si>
    <t xml:space="preserve">Đại từ &amp; xưng hô họ hàng</t>
  </si>
  <si>
    <t xml:space="preserve">Pronouns 1/2, kinship foundation, calculator, engine.</t>
  </si>
  <si>
    <t xml:space="preserve">Đại từ 1/2, nền tảng xưng hô, máy tính, bộ suy luận.</t>
  </si>
  <si>
    <t xml:space="preserve">D-08</t>
  </si>
  <si>
    <t xml:space="preserve">Classifiers (basics/extended)</t>
  </si>
  <si>
    <t xml:space="preserve">Loại từ (cơ bản/mở rộng)</t>
  </si>
  <si>
    <t xml:space="preserve">Classifier usage drills (con, cái, chiếc…).</t>
  </si>
  <si>
    <t xml:space="preserve">Bài luyện dùng loại từ (con, cái, chiếc…).</t>
  </si>
  <si>
    <t xml:space="preserve">D-09</t>
  </si>
  <si>
    <t xml:space="preserve">Particles (politeness/emotion)</t>
  </si>
  <si>
    <t xml:space="preserve">Tiểu từ (lịch sự/cảm xúc)</t>
  </si>
  <si>
    <t xml:space="preserve">Sentence-final particle drills.</t>
  </si>
  <si>
    <t xml:space="preserve">Bài luyện tiểu từ cuối câu.</t>
  </si>
  <si>
    <t xml:space="preserve">D-10</t>
  </si>
  <si>
    <t xml:space="preserve">Question words (basic/advanced)</t>
  </si>
  <si>
    <t xml:space="preserve">Từ để hỏi (cơ bản/nâng cao)</t>
  </si>
  <si>
    <t xml:space="preserve">WH-question word drills.</t>
  </si>
  <si>
    <t xml:space="preserve">Bài luyện từ để hỏi.</t>
  </si>
  <si>
    <t xml:space="preserve">D-11</t>
  </si>
  <si>
    <t xml:space="preserve">Aspect markers</t>
  </si>
  <si>
    <t xml:space="preserve">Dấu thì/thể</t>
  </si>
  <si>
    <t xml:space="preserve">đã / đang / sẽ time-word drills.</t>
  </si>
  <si>
    <t xml:space="preserve">Bài luyện từ chỉ thời gian đã/đang/sẽ.</t>
  </si>
  <si>
    <t xml:space="preserve">D-12</t>
  </si>
  <si>
    <t xml:space="preserve">Connectors, intensifiers, adverbs, quantifiers, verbs, prepositions</t>
  </si>
  <si>
    <t xml:space="preserve">Liên từ, từ nhấn mạnh, trạng từ, lượng từ, động từ, giới từ</t>
  </si>
  <si>
    <t xml:space="preserve">Assorted grammar-word drills.</t>
  </si>
  <si>
    <t xml:space="preserve">Các bài luyện nhóm từ ngữ pháp khác.</t>
  </si>
  <si>
    <t xml:space="preserve">D-13</t>
  </si>
  <si>
    <t xml:space="preserve">TELEX typing (1/2/3)</t>
  </si>
  <si>
    <t xml:space="preserve">Gõ TELEX (1/2/3)</t>
  </si>
  <si>
    <t xml:space="preserve">Type Vietnamese diacritics via TELEX.</t>
  </si>
  <si>
    <t xml:space="preserve">Gõ dấu tiếng Việt bằng TELEX.</t>
  </si>
  <si>
    <t xml:space="preserve">Native input rework</t>
  </si>
  <si>
    <t xml:space="preserve">D-14</t>
  </si>
  <si>
    <t xml:space="preserve">Teen code (1/2/3)</t>
  </si>
  <si>
    <t xml:space="preserve">Tiếng lóng teen (1/2/3)</t>
  </si>
  <si>
    <t xml:space="preserve">Internet slang decoding drills.</t>
  </si>
  <si>
    <t xml:space="preserve">Bài giải mã tiếng lóng mạng.</t>
  </si>
  <si>
    <t xml:space="preserve">P3</t>
  </si>
  <si>
    <t xml:space="preserve">Side-quest</t>
  </si>
  <si>
    <t xml:space="preserve">E-01</t>
  </si>
  <si>
    <t xml:space="preserve">Dictionary</t>
  </si>
  <si>
    <t xml:space="preserve">Từ điển</t>
  </si>
  <si>
    <t xml:space="preserve">Fuzzy search &amp; suggest</t>
  </si>
  <si>
    <t xml:space="preserve">Tìm kiếm mờ &amp; gợi ý</t>
  </si>
  <si>
    <t xml:space="preserve">Autocomplete + fuzzy suggestions.</t>
  </si>
  <si>
    <t xml:space="preserve">Tự hoàn thành + gợi ý mờ.</t>
  </si>
  <si>
    <t xml:space="preserve">Server /api</t>
  </si>
  <si>
    <t xml:space="preserve">E-02</t>
  </si>
  <si>
    <t xml:space="preserve">Full dictionary search</t>
  </si>
  <si>
    <t xml:space="preserve">Tìm kiếm từ điển đầy đủ</t>
  </si>
  <si>
    <t xml:space="preserve">Diacritics handling, IPA, examples, multi-source.</t>
  </si>
  <si>
    <t xml:space="preserve">Xử lý dấu, IPA, ví dụ, đa nguồn.</t>
  </si>
  <si>
    <t xml:space="preserve">E-03</t>
  </si>
  <si>
    <t xml:space="preserve">Compound word decomposition</t>
  </si>
  <si>
    <t xml:space="preserve">Tách từ ghép</t>
  </si>
  <si>
    <t xml:space="preserve">Segment compounds into parts.</t>
  </si>
  <si>
    <t xml:space="preserve">Tách từ ghép thành thành phần.</t>
  </si>
  <si>
    <t xml:space="preserve">E-04</t>
  </si>
  <si>
    <t xml:space="preserve">Word popup card</t>
  </si>
  <si>
    <t xml:space="preserve">Thẻ bật lên của từ</t>
  </si>
  <si>
    <t xml:space="preserve">Tap a word to see its detail card.</t>
  </si>
  <si>
    <t xml:space="preserve">Chạm vào từ để xem thẻ chi tiết.</t>
  </si>
  <si>
    <t xml:space="preserve">E-05</t>
  </si>
  <si>
    <t xml:space="preserve">Saved words &amp; decks</t>
  </si>
  <si>
    <t xml:space="preserve">Từ đã lưu &amp; bộ thẻ</t>
  </si>
  <si>
    <t xml:space="preserve">Save words and group into decks.</t>
  </si>
  <si>
    <t xml:space="preserve">Lưu từ và gom thành bộ thẻ.</t>
  </si>
  <si>
    <t xml:space="preserve">E-06</t>
  </si>
  <si>
    <t xml:space="preserve">Multi-language pairs</t>
  </si>
  <si>
    <t xml:space="preserve">Cặp đa ngôn ngữ</t>
  </si>
  <si>
    <t xml:space="preserve">EN/ZH + 6 more dictionary pairs.</t>
  </si>
  <si>
    <t xml:space="preserve">EN/ZH + 6 cặp từ điển khác.</t>
  </si>
  <si>
    <t xml:space="preserve">F-01</t>
  </si>
  <si>
    <t xml:space="preserve">Spaced Repetition &amp; Flashcards</t>
  </si>
  <si>
    <t xml:space="preserve">Ôn tập ngắt quãng &amp; Thẻ ghi nhớ</t>
  </si>
  <si>
    <t xml:space="preserve">SM-2 scheduling</t>
  </si>
  <si>
    <t xml:space="preserve">Lập lịch SM-2</t>
  </si>
  <si>
    <t xml:space="preserve">Intervals 1/3/7/14/30 days (srs.js).</t>
  </si>
  <si>
    <t xml:space="preserve">Khoảng 1/3/7/14/30 ngày (srs.js).</t>
  </si>
  <si>
    <t xml:space="preserve">F-02</t>
  </si>
  <si>
    <t xml:space="preserve">Flashcard review</t>
  </si>
  <si>
    <t xml:space="preserve">Ôn thẻ ghi nhớ</t>
  </si>
  <si>
    <t xml:space="preserve">Review due words, grade recall.</t>
  </si>
  <si>
    <t xml:space="preserve">Ôn từ đến hạn, chấm độ nhớ.</t>
  </si>
  <si>
    <t xml:space="preserve">F-03</t>
  </si>
  <si>
    <t xml:space="preserve">Custom decks</t>
  </si>
  <si>
    <t xml:space="preserve">Bộ thẻ tự tạo</t>
  </si>
  <si>
    <t xml:space="preserve">User-created review decks.</t>
  </si>
  <si>
    <t xml:space="preserve">Bộ thẻ ôn do người dùng tạo.</t>
  </si>
  <si>
    <t xml:space="preserve">G-01</t>
  </si>
  <si>
    <t xml:space="preserve">Reading Library</t>
  </si>
  <si>
    <t xml:space="preserve">Thư viện đọc</t>
  </si>
  <si>
    <t xml:space="preserve">Article library</t>
  </si>
  <si>
    <t xml:space="preserve">Thư viện bài đọc</t>
  </si>
  <si>
    <t xml:space="preserve">Browse reading articles.</t>
  </si>
  <si>
    <t xml:space="preserve">Duyệt các bài đọc.</t>
  </si>
  <si>
    <t xml:space="preserve">G-02</t>
  </si>
  <si>
    <t xml:space="preserve">Tap-to-define reading</t>
  </si>
  <si>
    <t xml:space="preserve">Đọc chạm để tra nghĩa</t>
  </si>
  <si>
    <t xml:space="preserve">In-article word lookup via dictionary.</t>
  </si>
  <si>
    <t xml:space="preserve">Tra từ trong bài qua từ điển.</t>
  </si>
  <si>
    <t xml:space="preserve">H-01</t>
  </si>
  <si>
    <t xml:space="preserve">Grammar</t>
  </si>
  <si>
    <t xml:space="preserve">Ngữ pháp</t>
  </si>
  <si>
    <t xml:space="preserve">Grammar browser by level</t>
  </si>
  <si>
    <t xml:space="preserve">Duyệt ngữ pháp theo cấp độ</t>
  </si>
  <si>
    <t xml:space="preserve">Index of grammar points per CEFR level.</t>
  </si>
  <si>
    <t xml:space="preserve">Danh mục điểm ngữ pháp theo cấp CEFR.</t>
  </si>
  <si>
    <t xml:space="preserve">H-02</t>
  </si>
  <si>
    <t xml:space="preserve">Grammar detail / guidebook</t>
  </si>
  <si>
    <t xml:space="preserve">Chi tiết ngữ pháp / cẩm nang</t>
  </si>
  <si>
    <t xml:space="preserve">Explanations with examples.</t>
  </si>
  <si>
    <t xml:space="preserve">Giải thích kèm ví dụ.</t>
  </si>
  <si>
    <t xml:space="preserve">H-03</t>
  </si>
  <si>
    <t xml:space="preserve">Grammar bank / tags</t>
  </si>
  <si>
    <t xml:space="preserve">Ngân hàng &amp; nhãn ngữ pháp</t>
  </si>
  <si>
    <t xml:space="preserve">Tagged grammar points reused in lessons.</t>
  </si>
  <si>
    <t xml:space="preserve">Điểm ngữ pháp gắn nhãn dùng lại trong bài.</t>
  </si>
  <si>
    <t xml:space="preserve">I-01</t>
  </si>
  <si>
    <t xml:space="preserve">Gamification</t>
  </si>
  <si>
    <t xml:space="preserve">Trò chơi hoá</t>
  </si>
  <si>
    <t xml:space="preserve">Coins (đồng ₫)</t>
  </si>
  <si>
    <t xml:space="preserve">Xu (đồng ₫)</t>
  </si>
  <si>
    <t xml:space="preserve">Virtual currency earned from lessons.</t>
  </si>
  <si>
    <t xml:space="preserve">Tiền ảo kiếm được từ bài học.</t>
  </si>
  <si>
    <t xml:space="preserve">I-02</t>
  </si>
  <si>
    <t xml:space="preserve">Daily streaks</t>
  </si>
  <si>
    <t xml:space="preserve">Chuỗi ngày học</t>
  </si>
  <si>
    <t xml:space="preserve">Track consecutive active days.</t>
  </si>
  <si>
    <t xml:space="preserve">Theo dõi số ngày học liên tiếp.</t>
  </si>
  <si>
    <t xml:space="preserve">I-03</t>
  </si>
  <si>
    <t xml:space="preserve">XP &amp; level progress</t>
  </si>
  <si>
    <t xml:space="preserve">XP &amp; tiến cấp</t>
  </si>
  <si>
    <t xml:space="preserve">Experience points and leveling.</t>
  </si>
  <si>
    <t xml:space="preserve">Điểm kinh nghiệm và lên cấp.</t>
  </si>
  <si>
    <t xml:space="preserve">I-04</t>
  </si>
  <si>
    <t xml:space="preserve">In-app notifications / toasts</t>
  </si>
  <si>
    <t xml:space="preserve">Thông báo trong ứng dụng</t>
  </si>
  <si>
    <t xml:space="preserve">Streak/coin toasts + notification panel.</t>
  </si>
  <si>
    <t xml:space="preserve">Thông báo chuỗi/xu + bảng thông báo.</t>
  </si>
  <si>
    <t xml:space="preserve">I-05</t>
  </si>
  <si>
    <t xml:space="preserve">Mascot (Bé Khê)</t>
  </si>
  <si>
    <t xml:space="preserve">Linh vật (Bé Khê)</t>
  </si>
  <si>
    <t xml:space="preserve">Guiding mascot with scripted lines.</t>
  </si>
  <si>
    <t xml:space="preserve">Linh vật dẫn dắt với lời thoại kịch bản.</t>
  </si>
  <si>
    <t xml:space="preserve">J-01</t>
  </si>
  <si>
    <t xml:space="preserve">Audio &amp; Speech</t>
  </si>
  <si>
    <t xml:space="preserve">Âm thanh &amp; Giọng nói</t>
  </si>
  <si>
    <t xml:space="preserve">TTS playback</t>
  </si>
  <si>
    <t xml:space="preserve">Phát giọng đọc (TTS)</t>
  </si>
  <si>
    <t xml:space="preserve">Server TTS with Supabase bucket cache.</t>
  </si>
  <si>
    <t xml:space="preserve">TTS từ máy chủ, cache trên Supabase.</t>
  </si>
  <si>
    <t xml:space="preserve">Call /api/tts; play native</t>
  </si>
  <si>
    <t xml:space="preserve">J-02</t>
  </si>
  <si>
    <t xml:space="preserve">Browser TTS fallback</t>
  </si>
  <si>
    <t xml:space="preserve">TTS dự phòng của trình duyệt</t>
  </si>
  <si>
    <t xml:space="preserve">speechSynthesis fallback when offline.</t>
  </si>
  <si>
    <t xml:space="preserve">Dùng speechSynthesis khi ngoại tuyến.</t>
  </si>
  <si>
    <t xml:space="preserve">Replace w/ native TTS</t>
  </si>
  <si>
    <t xml:space="preserve">J-03</t>
  </si>
  <si>
    <t xml:space="preserve">Pronunciation scoring</t>
  </si>
  <si>
    <t xml:space="preserve">Chấm điểm phát âm</t>
  </si>
  <si>
    <t xml:space="preserve">Mic capture → /api/pronunciation score.</t>
  </si>
  <si>
    <t xml:space="preserve">Thu âm → chấm điểm /api/pronunciation.</t>
  </si>
  <si>
    <t xml:space="preserve">Native recorder</t>
  </si>
  <si>
    <t xml:space="preserve">J-04</t>
  </si>
  <si>
    <t xml:space="preserve">Pitch detection (tones)</t>
  </si>
  <si>
    <t xml:space="preserve">Phát hiện cao độ (thanh điệu)</t>
  </si>
  <si>
    <t xml:space="preserve">Real-time pitch graph for tone practice.</t>
  </si>
  <si>
    <t xml:space="preserve">Đồ thị cao độ thời gian thực cho luyện thanh.</t>
  </si>
  <si>
    <t xml:space="preserve">J-05</t>
  </si>
  <si>
    <t xml:space="preserve">Tone-sample collection</t>
  </si>
  <si>
    <t xml:space="preserve">Thu thập mẫu thanh điệu</t>
  </si>
  <si>
    <t xml:space="preserve">Crowd-sourced tone audio samples.</t>
  </si>
  <si>
    <t xml:space="preserve">Thu mẫu âm thanh điệu từ cộng đồng.</t>
  </si>
  <si>
    <t xml:space="preserve">Optional</t>
  </si>
  <si>
    <t xml:space="preserve">K-01</t>
  </si>
  <si>
    <t xml:space="preserve">Localization</t>
  </si>
  <si>
    <t xml:space="preserve">Đa ngôn ngữ</t>
  </si>
  <si>
    <r>
      <rPr>
        <sz val="9"/>
        <rFont val="Arial"/>
        <family val="0"/>
        <charset val="1"/>
      </rPr>
      <t xml:space="preserve">UI language toggle (EN/</t>
    </r>
    <r>
      <rPr>
        <sz val="9"/>
        <rFont val="DejaVu Sans"/>
        <family val="2"/>
      </rPr>
      <t xml:space="preserve">中文</t>
    </r>
    <r>
      <rPr>
        <sz val="9"/>
        <rFont val="Arial"/>
        <family val="0"/>
        <charset val="1"/>
      </rPr>
      <t xml:space="preserve">)</t>
    </r>
  </si>
  <si>
    <t xml:space="preserve">Chuyển ngôn ngữ giao diện</t>
  </si>
  <si>
    <t xml:space="preserve">Switch interface between English and Chinese.</t>
  </si>
  <si>
    <t xml:space="preserve">Đổi giao diện giữa tiếng Anh và tiếng Trung.</t>
  </si>
  <si>
    <t xml:space="preserve">K-02</t>
  </si>
  <si>
    <t xml:space="preserve">Simplified/Traditional conversion</t>
  </si>
  <si>
    <t xml:space="preserve">Chuyển giản thể/phồn thể</t>
  </si>
  <si>
    <t xml:space="preserve">OpenCC conversion for Chinese learners.</t>
  </si>
  <si>
    <t xml:space="preserve">Chuyển đổi OpenCC cho người học tiếng Trung.</t>
  </si>
  <si>
    <t xml:space="preserve">L-01</t>
  </si>
  <si>
    <t xml:space="preserve">Admin CMS</t>
  </si>
  <si>
    <t xml:space="preserve">Hệ quản trị nội dung</t>
  </si>
  <si>
    <t xml:space="preserve">Admin auth</t>
  </si>
  <si>
    <t xml:space="preserve">Xác thực quản trị</t>
  </si>
  <si>
    <t xml:space="preserve">Gate to /admin editors.</t>
  </si>
  <si>
    <t xml:space="preserve">Cổng vào các trình biên tập /admin.</t>
  </si>
  <si>
    <t xml:space="preserve">Admin</t>
  </si>
  <si>
    <t xml:space="preserve">Desktop web; skip v1 native</t>
  </si>
  <si>
    <t xml:space="preserve">L-02</t>
  </si>
  <si>
    <t xml:space="preserve">Roadmap mapper</t>
  </si>
  <si>
    <t xml:space="preserve">Trình sắp xếp lộ trình</t>
  </si>
  <si>
    <t xml:space="preserve">Add/edit/arrange roadmap modules.</t>
  </si>
  <si>
    <t xml:space="preserve">Thêm/sửa/sắp xếp mô-đun lộ trình.</t>
  </si>
  <si>
    <t xml:space="preserve">Skip v1 native</t>
  </si>
  <si>
    <t xml:space="preserve">L-03</t>
  </si>
  <si>
    <t xml:space="preserve">Lesson builder</t>
  </si>
  <si>
    <t xml:space="preserve">Trình tạo bài học</t>
  </si>
  <si>
    <t xml:space="preserve">Edit lesson content/exercises.</t>
  </si>
  <si>
    <t xml:space="preserve">Biên tập nội dung/bài tập của bài.</t>
  </si>
  <si>
    <t xml:space="preserve">L-04</t>
  </si>
  <si>
    <t xml:space="preserve">Grammar / concept editors</t>
  </si>
  <si>
    <t xml:space="preserve">Trình biên tập ngữ pháp / khái niệm</t>
  </si>
  <si>
    <t xml:space="preserve">Edit grammar units, concepts, tags.</t>
  </si>
  <si>
    <t xml:space="preserve">Biên tập đơn vị ngữ pháp, khái niệm, nhãn.</t>
  </si>
  <si>
    <t xml:space="preserve">L-05</t>
  </si>
  <si>
    <t xml:space="preserve">Content editors (alphabet/vowels/tone/kinship/article/vocab)</t>
  </si>
  <si>
    <t xml:space="preserve">Trình biên tập nội dung</t>
  </si>
  <si>
    <t xml:space="preserve">Specialized editors persisting as overrides.</t>
  </si>
  <si>
    <t xml:space="preserve">Các trình biên tập chuyên biệt lưu dạng override.</t>
  </si>
  <si>
    <t xml:space="preserve">M-01</t>
  </si>
  <si>
    <t xml:space="preserve">Platform &amp; Backend</t>
  </si>
  <si>
    <t xml:space="preserve">Nền tảng &amp; Máy chủ</t>
  </si>
  <si>
    <t xml:space="preserve">Express REST API</t>
  </si>
  <si>
    <t xml:space="preserve">API REST (Express)</t>
  </si>
  <si>
    <t xml:space="preserve">Backend serving dictionary, TTS, etc.</t>
  </si>
  <si>
    <t xml:space="preserve">Máy chủ phục vụ từ điển, TTS, v.v.</t>
  </si>
  <si>
    <t xml:space="preserve">System</t>
  </si>
  <si>
    <t xml:space="preserve">Reuse as-is</t>
  </si>
  <si>
    <t xml:space="preserve">M-02</t>
  </si>
  <si>
    <t xml:space="preserve">SQLite dictionary indexing</t>
  </si>
  <si>
    <t xml:space="preserve">Lập chỉ mục từ điển SQLite</t>
  </si>
  <si>
    <t xml:space="preserve">Index ~100MB dict DBs on startup.</t>
  </si>
  <si>
    <t xml:space="preserve">Lập chỉ mục CSDL từ điển ~100MB khi khởi động.</t>
  </si>
  <si>
    <t xml:space="preserve">Server-side</t>
  </si>
  <si>
    <t xml:space="preserve">M-03</t>
  </si>
  <si>
    <t xml:space="preserve">Translate proxy</t>
  </si>
  <si>
    <t xml:space="preserve">Cổng dịch thuật</t>
  </si>
  <si>
    <t xml:space="preserve">Google Translate proxy endpoint.</t>
  </si>
  <si>
    <t xml:space="preserve">Điểm cuối proxy Google Translate.</t>
  </si>
  <si>
    <t xml:space="preserve">Reuse</t>
  </si>
  <si>
    <t xml:space="preserve">M-04</t>
  </si>
  <si>
    <t xml:space="preserve">Web Push notifications</t>
  </si>
  <si>
    <t xml:space="preserve">Thông báo đẩy web</t>
  </si>
  <si>
    <t xml:space="preserve">VAPID push subscribe/send.</t>
  </si>
  <si>
    <t xml:space="preserve">Đăng ký/gửi thông báo đẩy VAPID.</t>
  </si>
  <si>
    <t xml:space="preserve">Replace w/ FCM/APNs</t>
  </si>
  <si>
    <t xml:space="preserve">M-05</t>
  </si>
  <si>
    <t xml:space="preserve">Content build pipeline</t>
  </si>
  <si>
    <t xml:space="preserve">Quy trình dựng nội dung</t>
  </si>
  <si>
    <t xml:space="preserve">JSON + schema validation → INIT_DATA seed.</t>
  </si>
  <si>
    <t xml:space="preserve">JSON + kiểm schema → seed INIT_DATA.</t>
  </si>
  <si>
    <t xml:space="preserve">Portable</t>
  </si>
  <si>
    <t xml:space="preserve">M-06</t>
  </si>
  <si>
    <t xml:space="preserve">Local storage layer (mock DB)</t>
  </si>
  <si>
    <t xml:space="preserve">Lớp lưu trữ cục bộ (mock DB)</t>
  </si>
  <si>
    <t xml:space="preserve">localStorage as the data store.</t>
  </si>
  <si>
    <t xml:space="preserve">localStorage làm kho dữ liệu.</t>
  </si>
  <si>
    <t xml:space="preserve">Biggest port: → native storage</t>
  </si>
  <si>
    <t xml:space="preserve">M-07</t>
  </si>
  <si>
    <t xml:space="preserve">OCR image scan</t>
  </si>
  <si>
    <t xml:space="preserve">Quét ảnh OCR</t>
  </si>
  <si>
    <t xml:space="preserve">tesseract.js word scan from images.</t>
  </si>
  <si>
    <t xml:space="preserve">Quét từ trong ảnh bằng tesseract.js.</t>
  </si>
  <si>
    <t xml:space="preserve">→ ML Kit/Vision</t>
  </si>
  <si>
    <t xml:space="preserve">M-08</t>
  </si>
  <si>
    <t xml:space="preserve">Deployment (Docker/Vercel/Zeabur)</t>
  </si>
  <si>
    <t xml:space="preserve">Triển khai</t>
  </si>
  <si>
    <t xml:space="preserve">Containerized + managed hosting.</t>
  </si>
  <si>
    <t xml:space="preserve">Đóng gói container + lưu trữ quản lý.</t>
  </si>
  <si>
    <t xml:space="preserve">N-01</t>
  </si>
  <si>
    <t xml:space="preserve">Legal</t>
  </si>
  <si>
    <t xml:space="preserve">Pháp lý</t>
  </si>
  <si>
    <t xml:space="preserve">Privacy policy</t>
  </si>
  <si>
    <t xml:space="preserve">Chính sách bảo mật</t>
  </si>
  <si>
    <t xml:space="preserve">In-app privacy policy page.</t>
  </si>
  <si>
    <t xml:space="preserve">Trang chính sách bảo mật trong ứng dụng.</t>
  </si>
  <si>
    <t xml:space="preserve">N-02</t>
  </si>
  <si>
    <t xml:space="preserve">Terms of service</t>
  </si>
  <si>
    <t xml:space="preserve">Điều khoản dịch vụ</t>
  </si>
  <si>
    <t xml:space="preserve">In-app terms page.</t>
  </si>
  <si>
    <t xml:space="preserve">Trang điều khoản trong ứng dụng.</t>
  </si>
  <si>
    <t xml:space="preserve">TOTAL</t>
  </si>
  <si>
    <t xml:space="preserve">Summary by Port Phase (Tổng hợp theo giai đoạn)</t>
  </si>
  <si>
    <t xml:space="preserve">Count (Số lượng)</t>
  </si>
  <si>
    <t xml:space="preserve">Est. Hours (Giờ ước tính)</t>
  </si>
  <si>
    <t xml:space="preserve">Status (Trạng thái)</t>
  </si>
  <si>
    <t xml:space="preserve">Count</t>
  </si>
  <si>
    <t xml:space="preserve">Partial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</si>
</sst>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name val="DejaVu Sans"/>
      <family val="2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5" min="4" style="0" width="30"/>
    <col collapsed="false" customWidth="true" hidden="false" outlineLevel="0" max="7" min="6" style="0" width="4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2.35" hidden="false" customHeight="false" outlineLevel="0" collapsed="false">
      <c r="A5" s="4" t="s">
        <v>15</v>
      </c>
      <c r="B5" s="5" t="s">
        <v>16</v>
      </c>
      <c r="C5" s="5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7" t="s">
        <v>22</v>
      </c>
      <c r="I5" s="7" t="s">
        <v>23</v>
      </c>
      <c r="J5" s="7" t="s">
        <v>24</v>
      </c>
      <c r="K5" s="7" t="s">
        <v>25</v>
      </c>
      <c r="L5" s="7" t="n">
        <v>24</v>
      </c>
      <c r="M5" s="6"/>
    </row>
    <row r="6" customFormat="false" ht="22.35" hidden="false" customHeight="false" outlineLevel="0" collapsed="false">
      <c r="A6" s="4" t="s">
        <v>26</v>
      </c>
      <c r="B6" s="5" t="s">
        <v>16</v>
      </c>
      <c r="C6" s="5" t="s">
        <v>17</v>
      </c>
      <c r="D6" s="6" t="s">
        <v>27</v>
      </c>
      <c r="E6" s="6" t="s">
        <v>28</v>
      </c>
      <c r="F6" s="6" t="s">
        <v>29</v>
      </c>
      <c r="G6" s="6" t="s">
        <v>30</v>
      </c>
      <c r="H6" s="7" t="s">
        <v>22</v>
      </c>
      <c r="I6" s="7" t="s">
        <v>23</v>
      </c>
      <c r="J6" s="7" t="s">
        <v>24</v>
      </c>
      <c r="K6" s="7" t="s">
        <v>24</v>
      </c>
      <c r="L6" s="7" t="n">
        <v>20</v>
      </c>
      <c r="M6" s="6" t="s">
        <v>31</v>
      </c>
    </row>
    <row r="7" customFormat="false" ht="22.35" hidden="false" customHeight="false" outlineLevel="0" collapsed="false">
      <c r="A7" s="4" t="s">
        <v>32</v>
      </c>
      <c r="B7" s="5" t="s">
        <v>16</v>
      </c>
      <c r="C7" s="5" t="s">
        <v>17</v>
      </c>
      <c r="D7" s="6" t="s">
        <v>33</v>
      </c>
      <c r="E7" s="6" t="s">
        <v>34</v>
      </c>
      <c r="F7" s="6" t="s">
        <v>35</v>
      </c>
      <c r="G7" s="6" t="s">
        <v>36</v>
      </c>
      <c r="H7" s="7" t="s">
        <v>22</v>
      </c>
      <c r="I7" s="7" t="s">
        <v>23</v>
      </c>
      <c r="J7" s="7" t="s">
        <v>24</v>
      </c>
      <c r="K7" s="7" t="s">
        <v>25</v>
      </c>
      <c r="L7" s="7" t="n">
        <v>8</v>
      </c>
      <c r="M7" s="6"/>
    </row>
    <row r="8" customFormat="false" ht="22.35" hidden="false" customHeight="false" outlineLevel="0" collapsed="false">
      <c r="A8" s="4" t="s">
        <v>37</v>
      </c>
      <c r="B8" s="5" t="s">
        <v>16</v>
      </c>
      <c r="C8" s="5" t="s">
        <v>17</v>
      </c>
      <c r="D8" s="6" t="s">
        <v>38</v>
      </c>
      <c r="E8" s="6" t="s">
        <v>39</v>
      </c>
      <c r="F8" s="6" t="s">
        <v>40</v>
      </c>
      <c r="G8" s="6" t="s">
        <v>41</v>
      </c>
      <c r="H8" s="7" t="s">
        <v>22</v>
      </c>
      <c r="I8" s="7" t="s">
        <v>23</v>
      </c>
      <c r="J8" s="7" t="s">
        <v>24</v>
      </c>
      <c r="K8" s="7" t="s">
        <v>24</v>
      </c>
      <c r="L8" s="7" t="n">
        <v>16</v>
      </c>
      <c r="M8" s="6"/>
    </row>
    <row r="9" customFormat="false" ht="22.35" hidden="false" customHeight="false" outlineLevel="0" collapsed="false">
      <c r="A9" s="4" t="s">
        <v>42</v>
      </c>
      <c r="B9" s="5" t="s">
        <v>16</v>
      </c>
      <c r="C9" s="5" t="s">
        <v>17</v>
      </c>
      <c r="D9" s="6" t="s">
        <v>43</v>
      </c>
      <c r="E9" s="6" t="s">
        <v>44</v>
      </c>
      <c r="F9" s="6" t="s">
        <v>45</v>
      </c>
      <c r="G9" s="6" t="s">
        <v>46</v>
      </c>
      <c r="H9" s="7" t="s">
        <v>22</v>
      </c>
      <c r="I9" s="7" t="s">
        <v>23</v>
      </c>
      <c r="J9" s="7" t="s">
        <v>24</v>
      </c>
      <c r="K9" s="7" t="s">
        <v>24</v>
      </c>
      <c r="L9" s="7" t="n">
        <v>16</v>
      </c>
      <c r="M9" s="6"/>
    </row>
    <row r="10" customFormat="false" ht="15" hidden="false" customHeight="false" outlineLevel="0" collapsed="false">
      <c r="A10" s="4" t="s">
        <v>47</v>
      </c>
      <c r="B10" s="5" t="s">
        <v>16</v>
      </c>
      <c r="C10" s="5" t="s">
        <v>17</v>
      </c>
      <c r="D10" s="6" t="s">
        <v>48</v>
      </c>
      <c r="E10" s="6" t="s">
        <v>49</v>
      </c>
      <c r="F10" s="6" t="s">
        <v>50</v>
      </c>
      <c r="G10" s="6" t="s">
        <v>51</v>
      </c>
      <c r="H10" s="7" t="s">
        <v>22</v>
      </c>
      <c r="I10" s="7" t="s">
        <v>23</v>
      </c>
      <c r="J10" s="7" t="s">
        <v>52</v>
      </c>
      <c r="K10" s="7" t="s">
        <v>52</v>
      </c>
      <c r="L10" s="7" t="n">
        <v>10</v>
      </c>
      <c r="M10" s="6"/>
    </row>
    <row r="11" customFormat="false" ht="15" hidden="false" customHeight="false" outlineLevel="0" collapsed="false">
      <c r="A11" s="4" t="s">
        <v>53</v>
      </c>
      <c r="B11" s="5" t="s">
        <v>16</v>
      </c>
      <c r="C11" s="5" t="s">
        <v>17</v>
      </c>
      <c r="D11" s="6" t="s">
        <v>54</v>
      </c>
      <c r="E11" s="6" t="s">
        <v>55</v>
      </c>
      <c r="F11" s="6" t="s">
        <v>56</v>
      </c>
      <c r="G11" s="6" t="s">
        <v>57</v>
      </c>
      <c r="H11" s="7" t="s">
        <v>22</v>
      </c>
      <c r="I11" s="7" t="s">
        <v>58</v>
      </c>
      <c r="J11" s="7" t="s">
        <v>52</v>
      </c>
      <c r="K11" s="7" t="s">
        <v>52</v>
      </c>
      <c r="L11" s="7" t="n">
        <v>12</v>
      </c>
      <c r="M11" s="6" t="s">
        <v>59</v>
      </c>
    </row>
    <row r="12" customFormat="false" ht="15" hidden="false" customHeight="false" outlineLevel="0" collapsed="false">
      <c r="A12" s="4" t="s">
        <v>60</v>
      </c>
      <c r="B12" s="5" t="s">
        <v>16</v>
      </c>
      <c r="C12" s="5" t="s">
        <v>17</v>
      </c>
      <c r="D12" s="6" t="s">
        <v>61</v>
      </c>
      <c r="E12" s="6" t="s">
        <v>62</v>
      </c>
      <c r="F12" s="6" t="s">
        <v>63</v>
      </c>
      <c r="G12" s="6" t="s">
        <v>64</v>
      </c>
      <c r="H12" s="7" t="s">
        <v>22</v>
      </c>
      <c r="I12" s="7" t="s">
        <v>58</v>
      </c>
      <c r="J12" s="7" t="s">
        <v>52</v>
      </c>
      <c r="K12" s="7" t="s">
        <v>52</v>
      </c>
      <c r="L12" s="7" t="n">
        <v>12</v>
      </c>
      <c r="M12" s="6"/>
    </row>
    <row r="13" customFormat="false" ht="15" hidden="false" customHeight="false" outlineLevel="0" collapsed="false">
      <c r="A13" s="4" t="s">
        <v>65</v>
      </c>
      <c r="B13" s="5" t="s">
        <v>66</v>
      </c>
      <c r="C13" s="5" t="s">
        <v>67</v>
      </c>
      <c r="D13" s="6" t="s">
        <v>68</v>
      </c>
      <c r="E13" s="6" t="s">
        <v>69</v>
      </c>
      <c r="F13" s="6" t="s">
        <v>70</v>
      </c>
      <c r="G13" s="6" t="s">
        <v>71</v>
      </c>
      <c r="H13" s="7" t="s">
        <v>22</v>
      </c>
      <c r="I13" s="7" t="s">
        <v>23</v>
      </c>
      <c r="J13" s="7" t="s">
        <v>24</v>
      </c>
      <c r="K13" s="7" t="s">
        <v>25</v>
      </c>
      <c r="L13" s="7" t="n">
        <v>24</v>
      </c>
      <c r="M13" s="6"/>
    </row>
    <row r="14" customFormat="false" ht="15" hidden="false" customHeight="false" outlineLevel="0" collapsed="false">
      <c r="A14" s="4" t="s">
        <v>72</v>
      </c>
      <c r="B14" s="5" t="s">
        <v>66</v>
      </c>
      <c r="C14" s="5" t="s">
        <v>67</v>
      </c>
      <c r="D14" s="6" t="s">
        <v>73</v>
      </c>
      <c r="E14" s="6" t="s">
        <v>74</v>
      </c>
      <c r="F14" s="6" t="s">
        <v>75</v>
      </c>
      <c r="G14" s="6" t="s">
        <v>76</v>
      </c>
      <c r="H14" s="7" t="s">
        <v>22</v>
      </c>
      <c r="I14" s="7" t="s">
        <v>23</v>
      </c>
      <c r="J14" s="7" t="s">
        <v>24</v>
      </c>
      <c r="K14" s="7" t="s">
        <v>25</v>
      </c>
      <c r="L14" s="7" t="n">
        <v>16</v>
      </c>
      <c r="M14" s="6"/>
    </row>
    <row r="15" customFormat="false" ht="15" hidden="false" customHeight="false" outlineLevel="0" collapsed="false">
      <c r="A15" s="4" t="s">
        <v>77</v>
      </c>
      <c r="B15" s="5" t="s">
        <v>66</v>
      </c>
      <c r="C15" s="5" t="s">
        <v>67</v>
      </c>
      <c r="D15" s="6" t="s">
        <v>78</v>
      </c>
      <c r="E15" s="6" t="s">
        <v>79</v>
      </c>
      <c r="F15" s="6" t="s">
        <v>80</v>
      </c>
      <c r="G15" s="6" t="s">
        <v>81</v>
      </c>
      <c r="H15" s="7" t="s">
        <v>22</v>
      </c>
      <c r="I15" s="7" t="s">
        <v>23</v>
      </c>
      <c r="J15" s="7" t="s">
        <v>24</v>
      </c>
      <c r="K15" s="7" t="s">
        <v>25</v>
      </c>
      <c r="L15" s="7" t="n">
        <v>12</v>
      </c>
      <c r="M15" s="6" t="s">
        <v>82</v>
      </c>
    </row>
    <row r="16" customFormat="false" ht="15" hidden="false" customHeight="false" outlineLevel="0" collapsed="false">
      <c r="A16" s="4" t="s">
        <v>83</v>
      </c>
      <c r="B16" s="5" t="s">
        <v>66</v>
      </c>
      <c r="C16" s="5" t="s">
        <v>67</v>
      </c>
      <c r="D16" s="6" t="s">
        <v>84</v>
      </c>
      <c r="E16" s="6" t="s">
        <v>85</v>
      </c>
      <c r="F16" s="6" t="s">
        <v>86</v>
      </c>
      <c r="G16" s="6" t="s">
        <v>87</v>
      </c>
      <c r="H16" s="7" t="s">
        <v>22</v>
      </c>
      <c r="I16" s="7" t="s">
        <v>23</v>
      </c>
      <c r="J16" s="7" t="s">
        <v>24</v>
      </c>
      <c r="K16" s="7" t="s">
        <v>24</v>
      </c>
      <c r="L16" s="7" t="n">
        <v>16</v>
      </c>
      <c r="M16" s="6"/>
    </row>
    <row r="17" customFormat="false" ht="15" hidden="false" customHeight="false" outlineLevel="0" collapsed="false">
      <c r="A17" s="4" t="s">
        <v>88</v>
      </c>
      <c r="B17" s="5" t="s">
        <v>66</v>
      </c>
      <c r="C17" s="5" t="s">
        <v>67</v>
      </c>
      <c r="D17" s="6" t="s">
        <v>89</v>
      </c>
      <c r="E17" s="6" t="s">
        <v>90</v>
      </c>
      <c r="F17" s="6" t="s">
        <v>91</v>
      </c>
      <c r="G17" s="6" t="s">
        <v>92</v>
      </c>
      <c r="H17" s="7" t="s">
        <v>22</v>
      </c>
      <c r="I17" s="7" t="s">
        <v>23</v>
      </c>
      <c r="J17" s="7" t="s">
        <v>52</v>
      </c>
      <c r="K17" s="7" t="s">
        <v>52</v>
      </c>
      <c r="L17" s="7" t="n">
        <v>24</v>
      </c>
      <c r="M17" s="6"/>
    </row>
    <row r="18" customFormat="false" ht="15" hidden="false" customHeight="false" outlineLevel="0" collapsed="false">
      <c r="A18" s="4" t="s">
        <v>93</v>
      </c>
      <c r="B18" s="5" t="s">
        <v>66</v>
      </c>
      <c r="C18" s="5" t="s">
        <v>67</v>
      </c>
      <c r="D18" s="6" t="s">
        <v>94</v>
      </c>
      <c r="E18" s="6" t="s">
        <v>95</v>
      </c>
      <c r="F18" s="6" t="s">
        <v>96</v>
      </c>
      <c r="G18" s="6" t="s">
        <v>97</v>
      </c>
      <c r="H18" s="7" t="s">
        <v>22</v>
      </c>
      <c r="I18" s="7" t="s">
        <v>23</v>
      </c>
      <c r="J18" s="7" t="s">
        <v>24</v>
      </c>
      <c r="K18" s="7" t="s">
        <v>24</v>
      </c>
      <c r="L18" s="7" t="n">
        <v>10</v>
      </c>
      <c r="M18" s="6"/>
    </row>
    <row r="19" customFormat="false" ht="15" hidden="false" customHeight="false" outlineLevel="0" collapsed="false">
      <c r="A19" s="4" t="s">
        <v>98</v>
      </c>
      <c r="B19" s="5" t="s">
        <v>66</v>
      </c>
      <c r="C19" s="5" t="s">
        <v>67</v>
      </c>
      <c r="D19" s="6" t="s">
        <v>99</v>
      </c>
      <c r="E19" s="6" t="s">
        <v>100</v>
      </c>
      <c r="F19" s="6" t="s">
        <v>101</v>
      </c>
      <c r="G19" s="6" t="s">
        <v>102</v>
      </c>
      <c r="H19" s="7" t="s">
        <v>22</v>
      </c>
      <c r="I19" s="7" t="s">
        <v>23</v>
      </c>
      <c r="J19" s="7" t="s">
        <v>24</v>
      </c>
      <c r="K19" s="7" t="s">
        <v>24</v>
      </c>
      <c r="L19" s="7" t="n">
        <v>8</v>
      </c>
      <c r="M19" s="6"/>
    </row>
    <row r="20" customFormat="false" ht="15" hidden="false" customHeight="false" outlineLevel="0" collapsed="false">
      <c r="A20" s="4" t="s">
        <v>103</v>
      </c>
      <c r="B20" s="5" t="s">
        <v>104</v>
      </c>
      <c r="C20" s="5" t="s">
        <v>105</v>
      </c>
      <c r="D20" s="6" t="s">
        <v>106</v>
      </c>
      <c r="E20" s="6" t="s">
        <v>107</v>
      </c>
      <c r="F20" s="6" t="s">
        <v>108</v>
      </c>
      <c r="G20" s="6" t="s">
        <v>109</v>
      </c>
      <c r="H20" s="7" t="s">
        <v>22</v>
      </c>
      <c r="I20" s="7" t="s">
        <v>23</v>
      </c>
      <c r="J20" s="7" t="s">
        <v>24</v>
      </c>
      <c r="K20" s="7" t="s">
        <v>25</v>
      </c>
      <c r="L20" s="7" t="n">
        <v>40</v>
      </c>
      <c r="M20" s="6"/>
    </row>
    <row r="21" customFormat="false" ht="32.8" hidden="false" customHeight="false" outlineLevel="0" collapsed="false">
      <c r="A21" s="4" t="s">
        <v>110</v>
      </c>
      <c r="B21" s="5" t="s">
        <v>104</v>
      </c>
      <c r="C21" s="5" t="s">
        <v>105</v>
      </c>
      <c r="D21" s="6" t="s">
        <v>111</v>
      </c>
      <c r="E21" s="6" t="s">
        <v>112</v>
      </c>
      <c r="F21" s="6" t="s">
        <v>113</v>
      </c>
      <c r="G21" s="6" t="s">
        <v>114</v>
      </c>
      <c r="H21" s="7" t="s">
        <v>22</v>
      </c>
      <c r="I21" s="7" t="s">
        <v>23</v>
      </c>
      <c r="J21" s="7" t="s">
        <v>24</v>
      </c>
      <c r="K21" s="7" t="s">
        <v>25</v>
      </c>
      <c r="L21" s="7" t="n">
        <v>48</v>
      </c>
      <c r="M21" s="6"/>
    </row>
    <row r="22" customFormat="false" ht="15" hidden="false" customHeight="false" outlineLevel="0" collapsed="false">
      <c r="A22" s="4" t="s">
        <v>115</v>
      </c>
      <c r="B22" s="5" t="s">
        <v>104</v>
      </c>
      <c r="C22" s="5" t="s">
        <v>105</v>
      </c>
      <c r="D22" s="6" t="s">
        <v>116</v>
      </c>
      <c r="E22" s="6" t="s">
        <v>117</v>
      </c>
      <c r="F22" s="6" t="s">
        <v>118</v>
      </c>
      <c r="G22" s="6" t="s">
        <v>119</v>
      </c>
      <c r="H22" s="7" t="s">
        <v>22</v>
      </c>
      <c r="I22" s="7" t="s">
        <v>23</v>
      </c>
      <c r="J22" s="7" t="s">
        <v>24</v>
      </c>
      <c r="K22" s="7" t="s">
        <v>24</v>
      </c>
      <c r="L22" s="7" t="n">
        <v>12</v>
      </c>
      <c r="M22" s="6"/>
    </row>
    <row r="23" customFormat="false" ht="15" hidden="false" customHeight="false" outlineLevel="0" collapsed="false">
      <c r="A23" s="4" t="s">
        <v>120</v>
      </c>
      <c r="B23" s="5" t="s">
        <v>104</v>
      </c>
      <c r="C23" s="5" t="s">
        <v>105</v>
      </c>
      <c r="D23" s="6" t="s">
        <v>121</v>
      </c>
      <c r="E23" s="6" t="s">
        <v>122</v>
      </c>
      <c r="F23" s="6" t="s">
        <v>123</v>
      </c>
      <c r="G23" s="6" t="s">
        <v>124</v>
      </c>
      <c r="H23" s="7" t="s">
        <v>22</v>
      </c>
      <c r="I23" s="7" t="s">
        <v>23</v>
      </c>
      <c r="J23" s="7" t="s">
        <v>24</v>
      </c>
      <c r="K23" s="7" t="s">
        <v>24</v>
      </c>
      <c r="L23" s="7" t="n">
        <v>8</v>
      </c>
      <c r="M23" s="6"/>
    </row>
    <row r="24" customFormat="false" ht="15" hidden="false" customHeight="false" outlineLevel="0" collapsed="false">
      <c r="A24" s="4" t="s">
        <v>125</v>
      </c>
      <c r="B24" s="5" t="s">
        <v>104</v>
      </c>
      <c r="C24" s="5" t="s">
        <v>105</v>
      </c>
      <c r="D24" s="6" t="s">
        <v>126</v>
      </c>
      <c r="E24" s="6" t="s">
        <v>127</v>
      </c>
      <c r="F24" s="6" t="s">
        <v>128</v>
      </c>
      <c r="G24" s="6" t="s">
        <v>129</v>
      </c>
      <c r="H24" s="7" t="s">
        <v>22</v>
      </c>
      <c r="I24" s="7" t="s">
        <v>23</v>
      </c>
      <c r="J24" s="7" t="s">
        <v>24</v>
      </c>
      <c r="K24" s="7" t="s">
        <v>25</v>
      </c>
      <c r="L24" s="7" t="n">
        <v>12</v>
      </c>
      <c r="M24" s="6"/>
    </row>
    <row r="25" customFormat="false" ht="15" hidden="false" customHeight="false" outlineLevel="0" collapsed="false">
      <c r="A25" s="4" t="s">
        <v>130</v>
      </c>
      <c r="B25" s="5" t="s">
        <v>104</v>
      </c>
      <c r="C25" s="5" t="s">
        <v>105</v>
      </c>
      <c r="D25" s="6" t="s">
        <v>131</v>
      </c>
      <c r="E25" s="6" t="s">
        <v>132</v>
      </c>
      <c r="F25" s="6" t="s">
        <v>133</v>
      </c>
      <c r="G25" s="6" t="s">
        <v>134</v>
      </c>
      <c r="H25" s="7" t="s">
        <v>22</v>
      </c>
      <c r="I25" s="7" t="s">
        <v>58</v>
      </c>
      <c r="J25" s="7" t="s">
        <v>52</v>
      </c>
      <c r="K25" s="7" t="s">
        <v>24</v>
      </c>
      <c r="L25" s="7" t="n">
        <v>16</v>
      </c>
      <c r="M25" s="6" t="s">
        <v>59</v>
      </c>
    </row>
    <row r="26" customFormat="false" ht="15" hidden="false" customHeight="false" outlineLevel="0" collapsed="false">
      <c r="A26" s="4" t="s">
        <v>135</v>
      </c>
      <c r="B26" s="5" t="s">
        <v>104</v>
      </c>
      <c r="C26" s="5" t="s">
        <v>105</v>
      </c>
      <c r="D26" s="6" t="s">
        <v>136</v>
      </c>
      <c r="E26" s="6" t="s">
        <v>137</v>
      </c>
      <c r="F26" s="6" t="s">
        <v>138</v>
      </c>
      <c r="G26" s="6" t="s">
        <v>139</v>
      </c>
      <c r="H26" s="7" t="s">
        <v>22</v>
      </c>
      <c r="I26" s="7" t="s">
        <v>58</v>
      </c>
      <c r="J26" s="7" t="s">
        <v>52</v>
      </c>
      <c r="K26" s="7" t="s">
        <v>24</v>
      </c>
      <c r="L26" s="7" t="n">
        <v>20</v>
      </c>
      <c r="M26" s="6"/>
    </row>
    <row r="27" customFormat="false" ht="15" hidden="false" customHeight="false" outlineLevel="0" collapsed="false">
      <c r="A27" s="4" t="s">
        <v>140</v>
      </c>
      <c r="B27" s="5" t="s">
        <v>104</v>
      </c>
      <c r="C27" s="5" t="s">
        <v>105</v>
      </c>
      <c r="D27" s="6" t="s">
        <v>141</v>
      </c>
      <c r="E27" s="6" t="s">
        <v>142</v>
      </c>
      <c r="F27" s="6" t="s">
        <v>143</v>
      </c>
      <c r="G27" s="6" t="s">
        <v>144</v>
      </c>
      <c r="H27" s="7" t="s">
        <v>22</v>
      </c>
      <c r="I27" s="7" t="s">
        <v>23</v>
      </c>
      <c r="J27" s="7" t="s">
        <v>24</v>
      </c>
      <c r="K27" s="7" t="s">
        <v>24</v>
      </c>
      <c r="L27" s="7" t="n">
        <v>16</v>
      </c>
      <c r="M27" s="6"/>
    </row>
    <row r="28" customFormat="false" ht="22.35" hidden="false" customHeight="false" outlineLevel="0" collapsed="false">
      <c r="A28" s="4" t="s">
        <v>145</v>
      </c>
      <c r="B28" s="5" t="s">
        <v>146</v>
      </c>
      <c r="C28" s="5" t="s">
        <v>147</v>
      </c>
      <c r="D28" s="6" t="s">
        <v>148</v>
      </c>
      <c r="E28" s="6" t="s">
        <v>149</v>
      </c>
      <c r="F28" s="6" t="s">
        <v>150</v>
      </c>
      <c r="G28" s="6" t="s">
        <v>151</v>
      </c>
      <c r="H28" s="7" t="s">
        <v>22</v>
      </c>
      <c r="I28" s="7" t="s">
        <v>23</v>
      </c>
      <c r="J28" s="7" t="s">
        <v>24</v>
      </c>
      <c r="K28" s="7" t="s">
        <v>25</v>
      </c>
      <c r="L28" s="7" t="n">
        <v>20</v>
      </c>
      <c r="M28" s="6"/>
    </row>
    <row r="29" customFormat="false" ht="15" hidden="false" customHeight="false" outlineLevel="0" collapsed="false">
      <c r="A29" s="4" t="s">
        <v>152</v>
      </c>
      <c r="B29" s="5" t="s">
        <v>146</v>
      </c>
      <c r="C29" s="5" t="s">
        <v>147</v>
      </c>
      <c r="D29" s="6" t="s">
        <v>153</v>
      </c>
      <c r="E29" s="6" t="s">
        <v>154</v>
      </c>
      <c r="F29" s="6" t="s">
        <v>155</v>
      </c>
      <c r="G29" s="6" t="s">
        <v>156</v>
      </c>
      <c r="H29" s="7" t="s">
        <v>22</v>
      </c>
      <c r="I29" s="7" t="s">
        <v>23</v>
      </c>
      <c r="J29" s="7" t="s">
        <v>24</v>
      </c>
      <c r="K29" s="7" t="s">
        <v>25</v>
      </c>
      <c r="L29" s="7" t="n">
        <v>24</v>
      </c>
      <c r="M29" s="6" t="s">
        <v>157</v>
      </c>
    </row>
    <row r="30" customFormat="false" ht="15" hidden="false" customHeight="false" outlineLevel="0" collapsed="false">
      <c r="A30" s="4" t="s">
        <v>158</v>
      </c>
      <c r="B30" s="5" t="s">
        <v>146</v>
      </c>
      <c r="C30" s="5" t="s">
        <v>147</v>
      </c>
      <c r="D30" s="6" t="s">
        <v>159</v>
      </c>
      <c r="E30" s="6" t="s">
        <v>160</v>
      </c>
      <c r="F30" s="6" t="s">
        <v>161</v>
      </c>
      <c r="G30" s="6" t="s">
        <v>162</v>
      </c>
      <c r="H30" s="7" t="s">
        <v>22</v>
      </c>
      <c r="I30" s="7" t="s">
        <v>23</v>
      </c>
      <c r="J30" s="7" t="s">
        <v>24</v>
      </c>
      <c r="K30" s="7" t="s">
        <v>24</v>
      </c>
      <c r="L30" s="7" t="n">
        <v>24</v>
      </c>
      <c r="M30" s="6"/>
    </row>
    <row r="31" customFormat="false" ht="15" hidden="false" customHeight="false" outlineLevel="0" collapsed="false">
      <c r="A31" s="4" t="s">
        <v>163</v>
      </c>
      <c r="B31" s="5" t="s">
        <v>146</v>
      </c>
      <c r="C31" s="5" t="s">
        <v>147</v>
      </c>
      <c r="D31" s="6" t="s">
        <v>164</v>
      </c>
      <c r="E31" s="6" t="s">
        <v>165</v>
      </c>
      <c r="F31" s="6" t="s">
        <v>166</v>
      </c>
      <c r="G31" s="6" t="s">
        <v>167</v>
      </c>
      <c r="H31" s="7" t="s">
        <v>22</v>
      </c>
      <c r="I31" s="7" t="s">
        <v>23</v>
      </c>
      <c r="J31" s="7" t="s">
        <v>24</v>
      </c>
      <c r="K31" s="7" t="s">
        <v>24</v>
      </c>
      <c r="L31" s="7" t="n">
        <v>10</v>
      </c>
      <c r="M31" s="6"/>
    </row>
    <row r="32" customFormat="false" ht="15" hidden="false" customHeight="false" outlineLevel="0" collapsed="false">
      <c r="A32" s="4" t="s">
        <v>168</v>
      </c>
      <c r="B32" s="5" t="s">
        <v>146</v>
      </c>
      <c r="C32" s="5" t="s">
        <v>147</v>
      </c>
      <c r="D32" s="6" t="s">
        <v>169</v>
      </c>
      <c r="E32" s="6" t="s">
        <v>170</v>
      </c>
      <c r="F32" s="6" t="s">
        <v>171</v>
      </c>
      <c r="G32" s="6" t="s">
        <v>172</v>
      </c>
      <c r="H32" s="7" t="s">
        <v>22</v>
      </c>
      <c r="I32" s="7" t="s">
        <v>23</v>
      </c>
      <c r="J32" s="7" t="s">
        <v>24</v>
      </c>
      <c r="K32" s="7" t="s">
        <v>24</v>
      </c>
      <c r="L32" s="7" t="n">
        <v>16</v>
      </c>
      <c r="M32" s="6"/>
    </row>
    <row r="33" customFormat="false" ht="15" hidden="false" customHeight="false" outlineLevel="0" collapsed="false">
      <c r="A33" s="4" t="s">
        <v>173</v>
      </c>
      <c r="B33" s="5" t="s">
        <v>146</v>
      </c>
      <c r="C33" s="5" t="s">
        <v>147</v>
      </c>
      <c r="D33" s="6" t="s">
        <v>174</v>
      </c>
      <c r="E33" s="6" t="s">
        <v>175</v>
      </c>
      <c r="F33" s="6" t="s">
        <v>176</v>
      </c>
      <c r="G33" s="6" t="s">
        <v>177</v>
      </c>
      <c r="H33" s="7" t="s">
        <v>22</v>
      </c>
      <c r="I33" s="7" t="s">
        <v>23</v>
      </c>
      <c r="J33" s="7" t="s">
        <v>24</v>
      </c>
      <c r="K33" s="7" t="s">
        <v>24</v>
      </c>
      <c r="L33" s="7" t="n">
        <v>16</v>
      </c>
      <c r="M33" s="6"/>
    </row>
    <row r="34" customFormat="false" ht="15" hidden="false" customHeight="false" outlineLevel="0" collapsed="false">
      <c r="A34" s="4" t="s">
        <v>178</v>
      </c>
      <c r="B34" s="5" t="s">
        <v>146</v>
      </c>
      <c r="C34" s="5" t="s">
        <v>147</v>
      </c>
      <c r="D34" s="6" t="s">
        <v>179</v>
      </c>
      <c r="E34" s="6" t="s">
        <v>180</v>
      </c>
      <c r="F34" s="6" t="s">
        <v>181</v>
      </c>
      <c r="G34" s="6" t="s">
        <v>182</v>
      </c>
      <c r="H34" s="7" t="s">
        <v>22</v>
      </c>
      <c r="I34" s="7" t="s">
        <v>23</v>
      </c>
      <c r="J34" s="7" t="s">
        <v>24</v>
      </c>
      <c r="K34" s="7" t="s">
        <v>24</v>
      </c>
      <c r="L34" s="7" t="n">
        <v>28</v>
      </c>
      <c r="M34" s="6"/>
    </row>
    <row r="35" customFormat="false" ht="15" hidden="false" customHeight="false" outlineLevel="0" collapsed="false">
      <c r="A35" s="4" t="s">
        <v>183</v>
      </c>
      <c r="B35" s="5" t="s">
        <v>146</v>
      </c>
      <c r="C35" s="5" t="s">
        <v>147</v>
      </c>
      <c r="D35" s="6" t="s">
        <v>184</v>
      </c>
      <c r="E35" s="6" t="s">
        <v>185</v>
      </c>
      <c r="F35" s="6" t="s">
        <v>186</v>
      </c>
      <c r="G35" s="6" t="s">
        <v>187</v>
      </c>
      <c r="H35" s="7" t="s">
        <v>22</v>
      </c>
      <c r="I35" s="7" t="s">
        <v>23</v>
      </c>
      <c r="J35" s="7" t="s">
        <v>24</v>
      </c>
      <c r="K35" s="7" t="s">
        <v>24</v>
      </c>
      <c r="L35" s="7" t="n">
        <v>16</v>
      </c>
      <c r="M35" s="6"/>
    </row>
    <row r="36" customFormat="false" ht="15" hidden="false" customHeight="false" outlineLevel="0" collapsed="false">
      <c r="A36" s="4" t="s">
        <v>188</v>
      </c>
      <c r="B36" s="5" t="s">
        <v>146</v>
      </c>
      <c r="C36" s="5" t="s">
        <v>147</v>
      </c>
      <c r="D36" s="6" t="s">
        <v>189</v>
      </c>
      <c r="E36" s="6" t="s">
        <v>190</v>
      </c>
      <c r="F36" s="6" t="s">
        <v>191</v>
      </c>
      <c r="G36" s="6" t="s">
        <v>192</v>
      </c>
      <c r="H36" s="7" t="s">
        <v>22</v>
      </c>
      <c r="I36" s="7" t="s">
        <v>23</v>
      </c>
      <c r="J36" s="7" t="s">
        <v>24</v>
      </c>
      <c r="K36" s="7" t="s">
        <v>52</v>
      </c>
      <c r="L36" s="7" t="n">
        <v>12</v>
      </c>
      <c r="M36" s="6"/>
    </row>
    <row r="37" customFormat="false" ht="15" hidden="false" customHeight="false" outlineLevel="0" collapsed="false">
      <c r="A37" s="4" t="s">
        <v>193</v>
      </c>
      <c r="B37" s="5" t="s">
        <v>146</v>
      </c>
      <c r="C37" s="5" t="s">
        <v>147</v>
      </c>
      <c r="D37" s="6" t="s">
        <v>194</v>
      </c>
      <c r="E37" s="6" t="s">
        <v>195</v>
      </c>
      <c r="F37" s="6" t="s">
        <v>196</v>
      </c>
      <c r="G37" s="6" t="s">
        <v>197</v>
      </c>
      <c r="H37" s="7" t="s">
        <v>22</v>
      </c>
      <c r="I37" s="7" t="s">
        <v>23</v>
      </c>
      <c r="J37" s="7" t="s">
        <v>24</v>
      </c>
      <c r="K37" s="7" t="s">
        <v>52</v>
      </c>
      <c r="L37" s="7" t="n">
        <v>12</v>
      </c>
      <c r="M37" s="6"/>
    </row>
    <row r="38" customFormat="false" ht="15" hidden="false" customHeight="false" outlineLevel="0" collapsed="false">
      <c r="A38" s="4" t="s">
        <v>198</v>
      </c>
      <c r="B38" s="5" t="s">
        <v>146</v>
      </c>
      <c r="C38" s="5" t="s">
        <v>147</v>
      </c>
      <c r="D38" s="6" t="s">
        <v>199</v>
      </c>
      <c r="E38" s="6" t="s">
        <v>200</v>
      </c>
      <c r="F38" s="6" t="s">
        <v>201</v>
      </c>
      <c r="G38" s="6" t="s">
        <v>202</v>
      </c>
      <c r="H38" s="7" t="s">
        <v>22</v>
      </c>
      <c r="I38" s="7" t="s">
        <v>23</v>
      </c>
      <c r="J38" s="7" t="s">
        <v>24</v>
      </c>
      <c r="K38" s="7" t="s">
        <v>52</v>
      </c>
      <c r="L38" s="7" t="n">
        <v>10</v>
      </c>
      <c r="M38" s="6"/>
    </row>
    <row r="39" customFormat="false" ht="22.35" hidden="false" customHeight="false" outlineLevel="0" collapsed="false">
      <c r="A39" s="4" t="s">
        <v>203</v>
      </c>
      <c r="B39" s="5" t="s">
        <v>146</v>
      </c>
      <c r="C39" s="5" t="s">
        <v>147</v>
      </c>
      <c r="D39" s="6" t="s">
        <v>204</v>
      </c>
      <c r="E39" s="6" t="s">
        <v>205</v>
      </c>
      <c r="F39" s="6" t="s">
        <v>206</v>
      </c>
      <c r="G39" s="6" t="s">
        <v>207</v>
      </c>
      <c r="H39" s="7" t="s">
        <v>22</v>
      </c>
      <c r="I39" s="7" t="s">
        <v>23</v>
      </c>
      <c r="J39" s="7" t="s">
        <v>24</v>
      </c>
      <c r="K39" s="7" t="s">
        <v>52</v>
      </c>
      <c r="L39" s="7" t="n">
        <v>24</v>
      </c>
      <c r="M39" s="6"/>
    </row>
    <row r="40" customFormat="false" ht="15" hidden="false" customHeight="false" outlineLevel="0" collapsed="false">
      <c r="A40" s="4" t="s">
        <v>208</v>
      </c>
      <c r="B40" s="5" t="s">
        <v>146</v>
      </c>
      <c r="C40" s="5" t="s">
        <v>147</v>
      </c>
      <c r="D40" s="6" t="s">
        <v>209</v>
      </c>
      <c r="E40" s="6" t="s">
        <v>210</v>
      </c>
      <c r="F40" s="6" t="s">
        <v>211</v>
      </c>
      <c r="G40" s="6" t="s">
        <v>212</v>
      </c>
      <c r="H40" s="7" t="s">
        <v>22</v>
      </c>
      <c r="I40" s="7" t="s">
        <v>23</v>
      </c>
      <c r="J40" s="7" t="s">
        <v>52</v>
      </c>
      <c r="K40" s="7" t="s">
        <v>52</v>
      </c>
      <c r="L40" s="7" t="n">
        <v>18</v>
      </c>
      <c r="M40" s="6" t="s">
        <v>213</v>
      </c>
    </row>
    <row r="41" customFormat="false" ht="15" hidden="false" customHeight="false" outlineLevel="0" collapsed="false">
      <c r="A41" s="4" t="s">
        <v>214</v>
      </c>
      <c r="B41" s="5" t="s">
        <v>146</v>
      </c>
      <c r="C41" s="5" t="s">
        <v>147</v>
      </c>
      <c r="D41" s="6" t="s">
        <v>215</v>
      </c>
      <c r="E41" s="6" t="s">
        <v>216</v>
      </c>
      <c r="F41" s="6" t="s">
        <v>217</v>
      </c>
      <c r="G41" s="6" t="s">
        <v>218</v>
      </c>
      <c r="H41" s="7" t="s">
        <v>22</v>
      </c>
      <c r="I41" s="7" t="s">
        <v>23</v>
      </c>
      <c r="J41" s="7" t="s">
        <v>219</v>
      </c>
      <c r="K41" s="7" t="s">
        <v>219</v>
      </c>
      <c r="L41" s="7" t="n">
        <v>12</v>
      </c>
      <c r="M41" s="6" t="s">
        <v>220</v>
      </c>
    </row>
    <row r="42" customFormat="false" ht="15" hidden="false" customHeight="false" outlineLevel="0" collapsed="false">
      <c r="A42" s="4" t="s">
        <v>221</v>
      </c>
      <c r="B42" s="5" t="s">
        <v>222</v>
      </c>
      <c r="C42" s="5" t="s">
        <v>223</v>
      </c>
      <c r="D42" s="6" t="s">
        <v>224</v>
      </c>
      <c r="E42" s="6" t="s">
        <v>225</v>
      </c>
      <c r="F42" s="6" t="s">
        <v>226</v>
      </c>
      <c r="G42" s="6" t="s">
        <v>227</v>
      </c>
      <c r="H42" s="7" t="s">
        <v>22</v>
      </c>
      <c r="I42" s="7" t="s">
        <v>23</v>
      </c>
      <c r="J42" s="7" t="s">
        <v>24</v>
      </c>
      <c r="K42" s="7" t="s">
        <v>24</v>
      </c>
      <c r="L42" s="7" t="n">
        <v>16</v>
      </c>
      <c r="M42" s="6" t="s">
        <v>228</v>
      </c>
    </row>
    <row r="43" customFormat="false" ht="15" hidden="false" customHeight="false" outlineLevel="0" collapsed="false">
      <c r="A43" s="4" t="s">
        <v>229</v>
      </c>
      <c r="B43" s="5" t="s">
        <v>222</v>
      </c>
      <c r="C43" s="5" t="s">
        <v>223</v>
      </c>
      <c r="D43" s="6" t="s">
        <v>230</v>
      </c>
      <c r="E43" s="6" t="s">
        <v>231</v>
      </c>
      <c r="F43" s="6" t="s">
        <v>232</v>
      </c>
      <c r="G43" s="6" t="s">
        <v>233</v>
      </c>
      <c r="H43" s="7" t="s">
        <v>22</v>
      </c>
      <c r="I43" s="7" t="s">
        <v>23</v>
      </c>
      <c r="J43" s="7" t="s">
        <v>24</v>
      </c>
      <c r="K43" s="7" t="s">
        <v>24</v>
      </c>
      <c r="L43" s="7" t="n">
        <v>20</v>
      </c>
      <c r="M43" s="6"/>
    </row>
    <row r="44" customFormat="false" ht="15" hidden="false" customHeight="false" outlineLevel="0" collapsed="false">
      <c r="A44" s="4" t="s">
        <v>234</v>
      </c>
      <c r="B44" s="5" t="s">
        <v>222</v>
      </c>
      <c r="C44" s="5" t="s">
        <v>223</v>
      </c>
      <c r="D44" s="6" t="s">
        <v>235</v>
      </c>
      <c r="E44" s="6" t="s">
        <v>236</v>
      </c>
      <c r="F44" s="6" t="s">
        <v>237</v>
      </c>
      <c r="G44" s="6" t="s">
        <v>238</v>
      </c>
      <c r="H44" s="7" t="s">
        <v>22</v>
      </c>
      <c r="I44" s="7" t="s">
        <v>23</v>
      </c>
      <c r="J44" s="7" t="s">
        <v>24</v>
      </c>
      <c r="K44" s="7" t="s">
        <v>52</v>
      </c>
      <c r="L44" s="7" t="n">
        <v>16</v>
      </c>
      <c r="M44" s="6"/>
    </row>
    <row r="45" customFormat="false" ht="15" hidden="false" customHeight="false" outlineLevel="0" collapsed="false">
      <c r="A45" s="4" t="s">
        <v>239</v>
      </c>
      <c r="B45" s="5" t="s">
        <v>222</v>
      </c>
      <c r="C45" s="5" t="s">
        <v>223</v>
      </c>
      <c r="D45" s="6" t="s">
        <v>240</v>
      </c>
      <c r="E45" s="6" t="s">
        <v>241</v>
      </c>
      <c r="F45" s="6" t="s">
        <v>242</v>
      </c>
      <c r="G45" s="6" t="s">
        <v>243</v>
      </c>
      <c r="H45" s="7" t="s">
        <v>22</v>
      </c>
      <c r="I45" s="7" t="s">
        <v>23</v>
      </c>
      <c r="J45" s="7" t="s">
        <v>24</v>
      </c>
      <c r="K45" s="7" t="s">
        <v>52</v>
      </c>
      <c r="L45" s="7" t="n">
        <v>12</v>
      </c>
      <c r="M45" s="6"/>
    </row>
    <row r="46" customFormat="false" ht="15" hidden="false" customHeight="false" outlineLevel="0" collapsed="false">
      <c r="A46" s="4" t="s">
        <v>244</v>
      </c>
      <c r="B46" s="5" t="s">
        <v>222</v>
      </c>
      <c r="C46" s="5" t="s">
        <v>223</v>
      </c>
      <c r="D46" s="6" t="s">
        <v>245</v>
      </c>
      <c r="E46" s="6" t="s">
        <v>246</v>
      </c>
      <c r="F46" s="6" t="s">
        <v>247</v>
      </c>
      <c r="G46" s="6" t="s">
        <v>248</v>
      </c>
      <c r="H46" s="7" t="s">
        <v>22</v>
      </c>
      <c r="I46" s="7" t="s">
        <v>23</v>
      </c>
      <c r="J46" s="7" t="s">
        <v>24</v>
      </c>
      <c r="K46" s="7" t="s">
        <v>52</v>
      </c>
      <c r="L46" s="7" t="n">
        <v>16</v>
      </c>
      <c r="M46" s="6"/>
    </row>
    <row r="47" customFormat="false" ht="15" hidden="false" customHeight="false" outlineLevel="0" collapsed="false">
      <c r="A47" s="4" t="s">
        <v>249</v>
      </c>
      <c r="B47" s="5" t="s">
        <v>222</v>
      </c>
      <c r="C47" s="5" t="s">
        <v>223</v>
      </c>
      <c r="D47" s="6" t="s">
        <v>250</v>
      </c>
      <c r="E47" s="6" t="s">
        <v>251</v>
      </c>
      <c r="F47" s="6" t="s">
        <v>252</v>
      </c>
      <c r="G47" s="6" t="s">
        <v>253</v>
      </c>
      <c r="H47" s="7" t="s">
        <v>22</v>
      </c>
      <c r="I47" s="7" t="s">
        <v>23</v>
      </c>
      <c r="J47" s="7" t="s">
        <v>24</v>
      </c>
      <c r="K47" s="7" t="s">
        <v>52</v>
      </c>
      <c r="L47" s="7" t="n">
        <v>12</v>
      </c>
      <c r="M47" s="6"/>
    </row>
    <row r="48" customFormat="false" ht="22.35" hidden="false" customHeight="false" outlineLevel="0" collapsed="false">
      <c r="A48" s="4" t="s">
        <v>254</v>
      </c>
      <c r="B48" s="5" t="s">
        <v>255</v>
      </c>
      <c r="C48" s="5" t="s">
        <v>256</v>
      </c>
      <c r="D48" s="6" t="s">
        <v>257</v>
      </c>
      <c r="E48" s="6" t="s">
        <v>258</v>
      </c>
      <c r="F48" s="6" t="s">
        <v>259</v>
      </c>
      <c r="G48" s="6" t="s">
        <v>260</v>
      </c>
      <c r="H48" s="7" t="s">
        <v>22</v>
      </c>
      <c r="I48" s="7" t="s">
        <v>23</v>
      </c>
      <c r="J48" s="7" t="s">
        <v>24</v>
      </c>
      <c r="K48" s="7" t="s">
        <v>25</v>
      </c>
      <c r="L48" s="7" t="n">
        <v>16</v>
      </c>
      <c r="M48" s="6"/>
    </row>
    <row r="49" customFormat="false" ht="22.35" hidden="false" customHeight="false" outlineLevel="0" collapsed="false">
      <c r="A49" s="4" t="s">
        <v>261</v>
      </c>
      <c r="B49" s="5" t="s">
        <v>255</v>
      </c>
      <c r="C49" s="5" t="s">
        <v>256</v>
      </c>
      <c r="D49" s="6" t="s">
        <v>262</v>
      </c>
      <c r="E49" s="6" t="s">
        <v>263</v>
      </c>
      <c r="F49" s="6" t="s">
        <v>264</v>
      </c>
      <c r="G49" s="6" t="s">
        <v>265</v>
      </c>
      <c r="H49" s="7" t="s">
        <v>22</v>
      </c>
      <c r="I49" s="7" t="s">
        <v>23</v>
      </c>
      <c r="J49" s="7" t="s">
        <v>24</v>
      </c>
      <c r="K49" s="7" t="s">
        <v>24</v>
      </c>
      <c r="L49" s="7" t="n">
        <v>16</v>
      </c>
      <c r="M49" s="6"/>
    </row>
    <row r="50" customFormat="false" ht="22.35" hidden="false" customHeight="false" outlineLevel="0" collapsed="false">
      <c r="A50" s="4" t="s">
        <v>266</v>
      </c>
      <c r="B50" s="5" t="s">
        <v>255</v>
      </c>
      <c r="C50" s="5" t="s">
        <v>256</v>
      </c>
      <c r="D50" s="6" t="s">
        <v>267</v>
      </c>
      <c r="E50" s="6" t="s">
        <v>268</v>
      </c>
      <c r="F50" s="6" t="s">
        <v>269</v>
      </c>
      <c r="G50" s="6" t="s">
        <v>270</v>
      </c>
      <c r="H50" s="7" t="s">
        <v>22</v>
      </c>
      <c r="I50" s="7" t="s">
        <v>23</v>
      </c>
      <c r="J50" s="7" t="s">
        <v>24</v>
      </c>
      <c r="K50" s="7" t="s">
        <v>52</v>
      </c>
      <c r="L50" s="7" t="n">
        <v>12</v>
      </c>
      <c r="M50" s="6"/>
    </row>
    <row r="51" customFormat="false" ht="15" hidden="false" customHeight="false" outlineLevel="0" collapsed="false">
      <c r="A51" s="4" t="s">
        <v>271</v>
      </c>
      <c r="B51" s="5" t="s">
        <v>272</v>
      </c>
      <c r="C51" s="5" t="s">
        <v>273</v>
      </c>
      <c r="D51" s="6" t="s">
        <v>274</v>
      </c>
      <c r="E51" s="6" t="s">
        <v>275</v>
      </c>
      <c r="F51" s="6" t="s">
        <v>276</v>
      </c>
      <c r="G51" s="6" t="s">
        <v>277</v>
      </c>
      <c r="H51" s="7" t="s">
        <v>22</v>
      </c>
      <c r="I51" s="7" t="s">
        <v>23</v>
      </c>
      <c r="J51" s="7" t="s">
        <v>52</v>
      </c>
      <c r="K51" s="7" t="s">
        <v>52</v>
      </c>
      <c r="L51" s="7" t="n">
        <v>16</v>
      </c>
      <c r="M51" s="6"/>
    </row>
    <row r="52" customFormat="false" ht="15" hidden="false" customHeight="false" outlineLevel="0" collapsed="false">
      <c r="A52" s="4" t="s">
        <v>278</v>
      </c>
      <c r="B52" s="5" t="s">
        <v>272</v>
      </c>
      <c r="C52" s="5" t="s">
        <v>273</v>
      </c>
      <c r="D52" s="6" t="s">
        <v>279</v>
      </c>
      <c r="E52" s="6" t="s">
        <v>280</v>
      </c>
      <c r="F52" s="6" t="s">
        <v>281</v>
      </c>
      <c r="G52" s="6" t="s">
        <v>282</v>
      </c>
      <c r="H52" s="7" t="s">
        <v>22</v>
      </c>
      <c r="I52" s="7" t="s">
        <v>23</v>
      </c>
      <c r="J52" s="7" t="s">
        <v>52</v>
      </c>
      <c r="K52" s="7" t="s">
        <v>52</v>
      </c>
      <c r="L52" s="7" t="n">
        <v>16</v>
      </c>
      <c r="M52" s="6"/>
    </row>
    <row r="53" customFormat="false" ht="15" hidden="false" customHeight="false" outlineLevel="0" collapsed="false">
      <c r="A53" s="4" t="s">
        <v>283</v>
      </c>
      <c r="B53" s="5" t="s">
        <v>284</v>
      </c>
      <c r="C53" s="5" t="s">
        <v>285</v>
      </c>
      <c r="D53" s="6" t="s">
        <v>286</v>
      </c>
      <c r="E53" s="6" t="s">
        <v>287</v>
      </c>
      <c r="F53" s="6" t="s">
        <v>288</v>
      </c>
      <c r="G53" s="6" t="s">
        <v>289</v>
      </c>
      <c r="H53" s="7" t="s">
        <v>22</v>
      </c>
      <c r="I53" s="7" t="s">
        <v>23</v>
      </c>
      <c r="J53" s="7" t="s">
        <v>24</v>
      </c>
      <c r="K53" s="7" t="s">
        <v>24</v>
      </c>
      <c r="L53" s="7" t="n">
        <v>14</v>
      </c>
      <c r="M53" s="6"/>
    </row>
    <row r="54" customFormat="false" ht="15" hidden="false" customHeight="false" outlineLevel="0" collapsed="false">
      <c r="A54" s="4" t="s">
        <v>290</v>
      </c>
      <c r="B54" s="5" t="s">
        <v>284</v>
      </c>
      <c r="C54" s="5" t="s">
        <v>285</v>
      </c>
      <c r="D54" s="6" t="s">
        <v>291</v>
      </c>
      <c r="E54" s="6" t="s">
        <v>292</v>
      </c>
      <c r="F54" s="6" t="s">
        <v>293</v>
      </c>
      <c r="G54" s="6" t="s">
        <v>294</v>
      </c>
      <c r="H54" s="7" t="s">
        <v>22</v>
      </c>
      <c r="I54" s="7" t="s">
        <v>23</v>
      </c>
      <c r="J54" s="7" t="s">
        <v>24</v>
      </c>
      <c r="K54" s="7" t="s">
        <v>24</v>
      </c>
      <c r="L54" s="7" t="n">
        <v>12</v>
      </c>
      <c r="M54" s="6"/>
    </row>
    <row r="55" customFormat="false" ht="15" hidden="false" customHeight="false" outlineLevel="0" collapsed="false">
      <c r="A55" s="4" t="s">
        <v>295</v>
      </c>
      <c r="B55" s="5" t="s">
        <v>284</v>
      </c>
      <c r="C55" s="5" t="s">
        <v>285</v>
      </c>
      <c r="D55" s="6" t="s">
        <v>296</v>
      </c>
      <c r="E55" s="6" t="s">
        <v>297</v>
      </c>
      <c r="F55" s="6" t="s">
        <v>298</v>
      </c>
      <c r="G55" s="6" t="s">
        <v>299</v>
      </c>
      <c r="H55" s="7" t="s">
        <v>22</v>
      </c>
      <c r="I55" s="7" t="s">
        <v>23</v>
      </c>
      <c r="J55" s="7" t="s">
        <v>24</v>
      </c>
      <c r="K55" s="7" t="s">
        <v>52</v>
      </c>
      <c r="L55" s="7" t="n">
        <v>10</v>
      </c>
      <c r="M55" s="6"/>
    </row>
    <row r="56" customFormat="false" ht="15" hidden="false" customHeight="false" outlineLevel="0" collapsed="false">
      <c r="A56" s="4" t="s">
        <v>300</v>
      </c>
      <c r="B56" s="5" t="s">
        <v>301</v>
      </c>
      <c r="C56" s="5" t="s">
        <v>302</v>
      </c>
      <c r="D56" s="6" t="s">
        <v>303</v>
      </c>
      <c r="E56" s="6" t="s">
        <v>304</v>
      </c>
      <c r="F56" s="6" t="s">
        <v>305</v>
      </c>
      <c r="G56" s="6" t="s">
        <v>306</v>
      </c>
      <c r="H56" s="7" t="s">
        <v>22</v>
      </c>
      <c r="I56" s="7" t="s">
        <v>23</v>
      </c>
      <c r="J56" s="7" t="s">
        <v>24</v>
      </c>
      <c r="K56" s="7" t="s">
        <v>24</v>
      </c>
      <c r="L56" s="7" t="n">
        <v>10</v>
      </c>
      <c r="M56" s="6"/>
    </row>
    <row r="57" customFormat="false" ht="15" hidden="false" customHeight="false" outlineLevel="0" collapsed="false">
      <c r="A57" s="4" t="s">
        <v>307</v>
      </c>
      <c r="B57" s="5" t="s">
        <v>301</v>
      </c>
      <c r="C57" s="5" t="s">
        <v>302</v>
      </c>
      <c r="D57" s="6" t="s">
        <v>308</v>
      </c>
      <c r="E57" s="6" t="s">
        <v>309</v>
      </c>
      <c r="F57" s="6" t="s">
        <v>310</v>
      </c>
      <c r="G57" s="6" t="s">
        <v>311</v>
      </c>
      <c r="H57" s="7" t="s">
        <v>22</v>
      </c>
      <c r="I57" s="7" t="s">
        <v>23</v>
      </c>
      <c r="J57" s="7" t="s">
        <v>24</v>
      </c>
      <c r="K57" s="7" t="s">
        <v>24</v>
      </c>
      <c r="L57" s="7" t="n">
        <v>10</v>
      </c>
      <c r="M57" s="6"/>
    </row>
    <row r="58" customFormat="false" ht="15" hidden="false" customHeight="false" outlineLevel="0" collapsed="false">
      <c r="A58" s="4" t="s">
        <v>312</v>
      </c>
      <c r="B58" s="5" t="s">
        <v>301</v>
      </c>
      <c r="C58" s="5" t="s">
        <v>302</v>
      </c>
      <c r="D58" s="6" t="s">
        <v>313</v>
      </c>
      <c r="E58" s="6" t="s">
        <v>314</v>
      </c>
      <c r="F58" s="6" t="s">
        <v>315</v>
      </c>
      <c r="G58" s="6" t="s">
        <v>316</v>
      </c>
      <c r="H58" s="7" t="s">
        <v>22</v>
      </c>
      <c r="I58" s="7" t="s">
        <v>23</v>
      </c>
      <c r="J58" s="7" t="s">
        <v>24</v>
      </c>
      <c r="K58" s="7" t="s">
        <v>24</v>
      </c>
      <c r="L58" s="7" t="n">
        <v>10</v>
      </c>
      <c r="M58" s="6"/>
    </row>
    <row r="59" customFormat="false" ht="15" hidden="false" customHeight="false" outlineLevel="0" collapsed="false">
      <c r="A59" s="4" t="s">
        <v>317</v>
      </c>
      <c r="B59" s="5" t="s">
        <v>301</v>
      </c>
      <c r="C59" s="5" t="s">
        <v>302</v>
      </c>
      <c r="D59" s="6" t="s">
        <v>318</v>
      </c>
      <c r="E59" s="6" t="s">
        <v>319</v>
      </c>
      <c r="F59" s="6" t="s">
        <v>320</v>
      </c>
      <c r="G59" s="6" t="s">
        <v>321</v>
      </c>
      <c r="H59" s="7" t="s">
        <v>22</v>
      </c>
      <c r="I59" s="7" t="s">
        <v>23</v>
      </c>
      <c r="J59" s="7" t="s">
        <v>24</v>
      </c>
      <c r="K59" s="7" t="s">
        <v>52</v>
      </c>
      <c r="L59" s="7" t="n">
        <v>12</v>
      </c>
      <c r="M59" s="6"/>
    </row>
    <row r="60" customFormat="false" ht="15" hidden="false" customHeight="false" outlineLevel="0" collapsed="false">
      <c r="A60" s="4" t="s">
        <v>322</v>
      </c>
      <c r="B60" s="5" t="s">
        <v>301</v>
      </c>
      <c r="C60" s="5" t="s">
        <v>302</v>
      </c>
      <c r="D60" s="6" t="s">
        <v>323</v>
      </c>
      <c r="E60" s="6" t="s">
        <v>324</v>
      </c>
      <c r="F60" s="6" t="s">
        <v>325</v>
      </c>
      <c r="G60" s="6" t="s">
        <v>326</v>
      </c>
      <c r="H60" s="7" t="s">
        <v>22</v>
      </c>
      <c r="I60" s="7" t="s">
        <v>23</v>
      </c>
      <c r="J60" s="7" t="s">
        <v>52</v>
      </c>
      <c r="K60" s="7" t="s">
        <v>52</v>
      </c>
      <c r="L60" s="7" t="n">
        <v>16</v>
      </c>
      <c r="M60" s="6"/>
    </row>
    <row r="61" customFormat="false" ht="15" hidden="false" customHeight="false" outlineLevel="0" collapsed="false">
      <c r="A61" s="4" t="s">
        <v>327</v>
      </c>
      <c r="B61" s="5" t="s">
        <v>328</v>
      </c>
      <c r="C61" s="5" t="s">
        <v>329</v>
      </c>
      <c r="D61" s="6" t="s">
        <v>330</v>
      </c>
      <c r="E61" s="6" t="s">
        <v>331</v>
      </c>
      <c r="F61" s="6" t="s">
        <v>332</v>
      </c>
      <c r="G61" s="6" t="s">
        <v>333</v>
      </c>
      <c r="H61" s="7" t="s">
        <v>22</v>
      </c>
      <c r="I61" s="7" t="s">
        <v>23</v>
      </c>
      <c r="J61" s="7" t="s">
        <v>24</v>
      </c>
      <c r="K61" s="7" t="s">
        <v>25</v>
      </c>
      <c r="L61" s="7" t="n">
        <v>16</v>
      </c>
      <c r="M61" s="6" t="s">
        <v>334</v>
      </c>
    </row>
    <row r="62" customFormat="false" ht="15" hidden="false" customHeight="false" outlineLevel="0" collapsed="false">
      <c r="A62" s="4" t="s">
        <v>335</v>
      </c>
      <c r="B62" s="5" t="s">
        <v>328</v>
      </c>
      <c r="C62" s="5" t="s">
        <v>329</v>
      </c>
      <c r="D62" s="6" t="s">
        <v>336</v>
      </c>
      <c r="E62" s="6" t="s">
        <v>337</v>
      </c>
      <c r="F62" s="6" t="s">
        <v>338</v>
      </c>
      <c r="G62" s="6" t="s">
        <v>339</v>
      </c>
      <c r="H62" s="7" t="s">
        <v>22</v>
      </c>
      <c r="I62" s="7" t="s">
        <v>23</v>
      </c>
      <c r="J62" s="7" t="s">
        <v>24</v>
      </c>
      <c r="K62" s="7" t="s">
        <v>52</v>
      </c>
      <c r="L62" s="7" t="n">
        <v>8</v>
      </c>
      <c r="M62" s="6" t="s">
        <v>340</v>
      </c>
    </row>
    <row r="63" customFormat="false" ht="15" hidden="false" customHeight="false" outlineLevel="0" collapsed="false">
      <c r="A63" s="4" t="s">
        <v>341</v>
      </c>
      <c r="B63" s="5" t="s">
        <v>328</v>
      </c>
      <c r="C63" s="5" t="s">
        <v>329</v>
      </c>
      <c r="D63" s="6" t="s">
        <v>342</v>
      </c>
      <c r="E63" s="6" t="s">
        <v>343</v>
      </c>
      <c r="F63" s="6" t="s">
        <v>344</v>
      </c>
      <c r="G63" s="6" t="s">
        <v>345</v>
      </c>
      <c r="H63" s="7" t="s">
        <v>22</v>
      </c>
      <c r="I63" s="7" t="s">
        <v>23</v>
      </c>
      <c r="J63" s="7" t="s">
        <v>24</v>
      </c>
      <c r="K63" s="7" t="s">
        <v>24</v>
      </c>
      <c r="L63" s="7" t="n">
        <v>24</v>
      </c>
      <c r="M63" s="6" t="s">
        <v>346</v>
      </c>
    </row>
    <row r="64" customFormat="false" ht="15" hidden="false" customHeight="false" outlineLevel="0" collapsed="false">
      <c r="A64" s="4" t="s">
        <v>347</v>
      </c>
      <c r="B64" s="5" t="s">
        <v>328</v>
      </c>
      <c r="C64" s="5" t="s">
        <v>329</v>
      </c>
      <c r="D64" s="6" t="s">
        <v>348</v>
      </c>
      <c r="E64" s="6" t="s">
        <v>349</v>
      </c>
      <c r="F64" s="6" t="s">
        <v>350</v>
      </c>
      <c r="G64" s="6" t="s">
        <v>351</v>
      </c>
      <c r="H64" s="7" t="s">
        <v>22</v>
      </c>
      <c r="I64" s="7" t="s">
        <v>23</v>
      </c>
      <c r="J64" s="7" t="s">
        <v>24</v>
      </c>
      <c r="K64" s="7" t="s">
        <v>52</v>
      </c>
      <c r="L64" s="7" t="n">
        <v>20</v>
      </c>
      <c r="M64" s="6" t="s">
        <v>157</v>
      </c>
    </row>
    <row r="65" customFormat="false" ht="15" hidden="false" customHeight="false" outlineLevel="0" collapsed="false">
      <c r="A65" s="4" t="s">
        <v>352</v>
      </c>
      <c r="B65" s="5" t="s">
        <v>328</v>
      </c>
      <c r="C65" s="5" t="s">
        <v>329</v>
      </c>
      <c r="D65" s="6" t="s">
        <v>353</v>
      </c>
      <c r="E65" s="6" t="s">
        <v>354</v>
      </c>
      <c r="F65" s="6" t="s">
        <v>355</v>
      </c>
      <c r="G65" s="6" t="s">
        <v>356</v>
      </c>
      <c r="H65" s="7" t="s">
        <v>22</v>
      </c>
      <c r="I65" s="7" t="s">
        <v>23</v>
      </c>
      <c r="J65" s="7" t="s">
        <v>219</v>
      </c>
      <c r="K65" s="7" t="s">
        <v>219</v>
      </c>
      <c r="L65" s="7" t="n">
        <v>8</v>
      </c>
      <c r="M65" s="6" t="s">
        <v>357</v>
      </c>
    </row>
    <row r="66" customFormat="false" ht="15" hidden="false" customHeight="false" outlineLevel="0" collapsed="false">
      <c r="A66" s="4" t="s">
        <v>358</v>
      </c>
      <c r="B66" s="5" t="s">
        <v>359</v>
      </c>
      <c r="C66" s="5" t="s">
        <v>360</v>
      </c>
      <c r="D66" s="6" t="s">
        <v>361</v>
      </c>
      <c r="E66" s="6" t="s">
        <v>362</v>
      </c>
      <c r="F66" s="6" t="s">
        <v>363</v>
      </c>
      <c r="G66" s="6" t="s">
        <v>364</v>
      </c>
      <c r="H66" s="7" t="s">
        <v>22</v>
      </c>
      <c r="I66" s="7" t="s">
        <v>23</v>
      </c>
      <c r="J66" s="7" t="s">
        <v>24</v>
      </c>
      <c r="K66" s="7" t="s">
        <v>24</v>
      </c>
      <c r="L66" s="7" t="n">
        <v>10</v>
      </c>
      <c r="M66" s="6"/>
    </row>
    <row r="67" customFormat="false" ht="15" hidden="false" customHeight="false" outlineLevel="0" collapsed="false">
      <c r="A67" s="4" t="s">
        <v>365</v>
      </c>
      <c r="B67" s="5" t="s">
        <v>359</v>
      </c>
      <c r="C67" s="5" t="s">
        <v>360</v>
      </c>
      <c r="D67" s="6" t="s">
        <v>366</v>
      </c>
      <c r="E67" s="6" t="s">
        <v>367</v>
      </c>
      <c r="F67" s="6" t="s">
        <v>368</v>
      </c>
      <c r="G67" s="6" t="s">
        <v>369</v>
      </c>
      <c r="H67" s="7" t="s">
        <v>22</v>
      </c>
      <c r="I67" s="7" t="s">
        <v>23</v>
      </c>
      <c r="J67" s="7" t="s">
        <v>24</v>
      </c>
      <c r="K67" s="7" t="s">
        <v>52</v>
      </c>
      <c r="L67" s="7" t="n">
        <v>8</v>
      </c>
      <c r="M67" s="6"/>
    </row>
    <row r="68" customFormat="false" ht="15" hidden="false" customHeight="false" outlineLevel="0" collapsed="false">
      <c r="A68" s="4" t="s">
        <v>370</v>
      </c>
      <c r="B68" s="5" t="s">
        <v>371</v>
      </c>
      <c r="C68" s="5" t="s">
        <v>372</v>
      </c>
      <c r="D68" s="6" t="s">
        <v>373</v>
      </c>
      <c r="E68" s="6" t="s">
        <v>374</v>
      </c>
      <c r="F68" s="6" t="s">
        <v>375</v>
      </c>
      <c r="G68" s="6" t="s">
        <v>376</v>
      </c>
      <c r="H68" s="7" t="s">
        <v>377</v>
      </c>
      <c r="I68" s="7" t="s">
        <v>23</v>
      </c>
      <c r="J68" s="7" t="s">
        <v>219</v>
      </c>
      <c r="K68" s="7" t="s">
        <v>52</v>
      </c>
      <c r="L68" s="7" t="n">
        <v>8</v>
      </c>
      <c r="M68" s="6" t="s">
        <v>378</v>
      </c>
    </row>
    <row r="69" customFormat="false" ht="15" hidden="false" customHeight="false" outlineLevel="0" collapsed="false">
      <c r="A69" s="4" t="s">
        <v>379</v>
      </c>
      <c r="B69" s="5" t="s">
        <v>371</v>
      </c>
      <c r="C69" s="5" t="s">
        <v>372</v>
      </c>
      <c r="D69" s="6" t="s">
        <v>380</v>
      </c>
      <c r="E69" s="6" t="s">
        <v>381</v>
      </c>
      <c r="F69" s="6" t="s">
        <v>382</v>
      </c>
      <c r="G69" s="6" t="s">
        <v>383</v>
      </c>
      <c r="H69" s="7" t="s">
        <v>377</v>
      </c>
      <c r="I69" s="7" t="s">
        <v>23</v>
      </c>
      <c r="J69" s="7" t="s">
        <v>219</v>
      </c>
      <c r="K69" s="7" t="s">
        <v>52</v>
      </c>
      <c r="L69" s="7" t="n">
        <v>24</v>
      </c>
      <c r="M69" s="6" t="s">
        <v>384</v>
      </c>
    </row>
    <row r="70" customFormat="false" ht="15" hidden="false" customHeight="false" outlineLevel="0" collapsed="false">
      <c r="A70" s="4" t="s">
        <v>385</v>
      </c>
      <c r="B70" s="5" t="s">
        <v>371</v>
      </c>
      <c r="C70" s="5" t="s">
        <v>372</v>
      </c>
      <c r="D70" s="6" t="s">
        <v>386</v>
      </c>
      <c r="E70" s="6" t="s">
        <v>387</v>
      </c>
      <c r="F70" s="6" t="s">
        <v>388</v>
      </c>
      <c r="G70" s="6" t="s">
        <v>389</v>
      </c>
      <c r="H70" s="7" t="s">
        <v>377</v>
      </c>
      <c r="I70" s="7" t="s">
        <v>23</v>
      </c>
      <c r="J70" s="7" t="s">
        <v>219</v>
      </c>
      <c r="K70" s="7" t="s">
        <v>52</v>
      </c>
      <c r="L70" s="7" t="n">
        <v>24</v>
      </c>
      <c r="M70" s="6" t="s">
        <v>384</v>
      </c>
    </row>
    <row r="71" customFormat="false" ht="15" hidden="false" customHeight="false" outlineLevel="0" collapsed="false">
      <c r="A71" s="4" t="s">
        <v>390</v>
      </c>
      <c r="B71" s="5" t="s">
        <v>371</v>
      </c>
      <c r="C71" s="5" t="s">
        <v>372</v>
      </c>
      <c r="D71" s="6" t="s">
        <v>391</v>
      </c>
      <c r="E71" s="6" t="s">
        <v>392</v>
      </c>
      <c r="F71" s="6" t="s">
        <v>393</v>
      </c>
      <c r="G71" s="6" t="s">
        <v>394</v>
      </c>
      <c r="H71" s="7" t="s">
        <v>377</v>
      </c>
      <c r="I71" s="7" t="s">
        <v>23</v>
      </c>
      <c r="J71" s="7" t="s">
        <v>219</v>
      </c>
      <c r="K71" s="7" t="s">
        <v>52</v>
      </c>
      <c r="L71" s="7" t="n">
        <v>20</v>
      </c>
      <c r="M71" s="6" t="s">
        <v>384</v>
      </c>
    </row>
    <row r="72" customFormat="false" ht="32.8" hidden="false" customHeight="false" outlineLevel="0" collapsed="false">
      <c r="A72" s="4" t="s">
        <v>395</v>
      </c>
      <c r="B72" s="5" t="s">
        <v>371</v>
      </c>
      <c r="C72" s="5" t="s">
        <v>372</v>
      </c>
      <c r="D72" s="6" t="s">
        <v>396</v>
      </c>
      <c r="E72" s="6" t="s">
        <v>397</v>
      </c>
      <c r="F72" s="6" t="s">
        <v>398</v>
      </c>
      <c r="G72" s="6" t="s">
        <v>399</v>
      </c>
      <c r="H72" s="7" t="s">
        <v>377</v>
      </c>
      <c r="I72" s="7" t="s">
        <v>23</v>
      </c>
      <c r="J72" s="7" t="s">
        <v>219</v>
      </c>
      <c r="K72" s="7" t="s">
        <v>52</v>
      </c>
      <c r="L72" s="7" t="n">
        <v>24</v>
      </c>
      <c r="M72" s="6" t="s">
        <v>384</v>
      </c>
    </row>
    <row r="73" customFormat="false" ht="15" hidden="false" customHeight="false" outlineLevel="0" collapsed="false">
      <c r="A73" s="4" t="s">
        <v>400</v>
      </c>
      <c r="B73" s="5" t="s">
        <v>401</v>
      </c>
      <c r="C73" s="5" t="s">
        <v>402</v>
      </c>
      <c r="D73" s="6" t="s">
        <v>403</v>
      </c>
      <c r="E73" s="6" t="s">
        <v>404</v>
      </c>
      <c r="F73" s="6" t="s">
        <v>405</v>
      </c>
      <c r="G73" s="6" t="s">
        <v>406</v>
      </c>
      <c r="H73" s="7" t="s">
        <v>407</v>
      </c>
      <c r="I73" s="7" t="s">
        <v>23</v>
      </c>
      <c r="J73" s="7" t="s">
        <v>24</v>
      </c>
      <c r="K73" s="7" t="s">
        <v>25</v>
      </c>
      <c r="L73" s="7" t="n">
        <v>0</v>
      </c>
      <c r="M73" s="6" t="s">
        <v>408</v>
      </c>
    </row>
    <row r="74" customFormat="false" ht="15" hidden="false" customHeight="false" outlineLevel="0" collapsed="false">
      <c r="A74" s="4" t="s">
        <v>409</v>
      </c>
      <c r="B74" s="5" t="s">
        <v>401</v>
      </c>
      <c r="C74" s="5" t="s">
        <v>402</v>
      </c>
      <c r="D74" s="6" t="s">
        <v>410</v>
      </c>
      <c r="E74" s="6" t="s">
        <v>411</v>
      </c>
      <c r="F74" s="6" t="s">
        <v>412</v>
      </c>
      <c r="G74" s="6" t="s">
        <v>413</v>
      </c>
      <c r="H74" s="7" t="s">
        <v>407</v>
      </c>
      <c r="I74" s="7" t="s">
        <v>23</v>
      </c>
      <c r="J74" s="7" t="s">
        <v>24</v>
      </c>
      <c r="K74" s="7" t="s">
        <v>25</v>
      </c>
      <c r="L74" s="7" t="n">
        <v>0</v>
      </c>
      <c r="M74" s="6" t="s">
        <v>414</v>
      </c>
    </row>
    <row r="75" customFormat="false" ht="15" hidden="false" customHeight="false" outlineLevel="0" collapsed="false">
      <c r="A75" s="4" t="s">
        <v>415</v>
      </c>
      <c r="B75" s="5" t="s">
        <v>401</v>
      </c>
      <c r="C75" s="5" t="s">
        <v>402</v>
      </c>
      <c r="D75" s="6" t="s">
        <v>416</v>
      </c>
      <c r="E75" s="6" t="s">
        <v>417</v>
      </c>
      <c r="F75" s="6" t="s">
        <v>418</v>
      </c>
      <c r="G75" s="6" t="s">
        <v>419</v>
      </c>
      <c r="H75" s="7" t="s">
        <v>407</v>
      </c>
      <c r="I75" s="7" t="s">
        <v>23</v>
      </c>
      <c r="J75" s="7" t="s">
        <v>24</v>
      </c>
      <c r="K75" s="7" t="s">
        <v>52</v>
      </c>
      <c r="L75" s="7" t="n">
        <v>0</v>
      </c>
      <c r="M75" s="6" t="s">
        <v>420</v>
      </c>
    </row>
    <row r="76" customFormat="false" ht="15" hidden="false" customHeight="false" outlineLevel="0" collapsed="false">
      <c r="A76" s="4" t="s">
        <v>421</v>
      </c>
      <c r="B76" s="5" t="s">
        <v>401</v>
      </c>
      <c r="C76" s="5" t="s">
        <v>402</v>
      </c>
      <c r="D76" s="6" t="s">
        <v>422</v>
      </c>
      <c r="E76" s="6" t="s">
        <v>423</v>
      </c>
      <c r="F76" s="6" t="s">
        <v>424</v>
      </c>
      <c r="G76" s="6" t="s">
        <v>425</v>
      </c>
      <c r="H76" s="7" t="s">
        <v>407</v>
      </c>
      <c r="I76" s="7" t="s">
        <v>23</v>
      </c>
      <c r="J76" s="7" t="s">
        <v>52</v>
      </c>
      <c r="K76" s="7" t="s">
        <v>24</v>
      </c>
      <c r="L76" s="7" t="n">
        <v>24</v>
      </c>
      <c r="M76" s="6" t="s">
        <v>426</v>
      </c>
    </row>
    <row r="77" customFormat="false" ht="15" hidden="false" customHeight="false" outlineLevel="0" collapsed="false">
      <c r="A77" s="4" t="s">
        <v>427</v>
      </c>
      <c r="B77" s="5" t="s">
        <v>401</v>
      </c>
      <c r="C77" s="5" t="s">
        <v>402</v>
      </c>
      <c r="D77" s="6" t="s">
        <v>428</v>
      </c>
      <c r="E77" s="6" t="s">
        <v>429</v>
      </c>
      <c r="F77" s="6" t="s">
        <v>430</v>
      </c>
      <c r="G77" s="6" t="s">
        <v>431</v>
      </c>
      <c r="H77" s="7" t="s">
        <v>407</v>
      </c>
      <c r="I77" s="7" t="s">
        <v>23</v>
      </c>
      <c r="J77" s="7" t="s">
        <v>24</v>
      </c>
      <c r="K77" s="7" t="s">
        <v>25</v>
      </c>
      <c r="L77" s="7" t="n">
        <v>0</v>
      </c>
      <c r="M77" s="6" t="s">
        <v>432</v>
      </c>
    </row>
    <row r="78" customFormat="false" ht="15" hidden="false" customHeight="false" outlineLevel="0" collapsed="false">
      <c r="A78" s="4" t="s">
        <v>433</v>
      </c>
      <c r="B78" s="5" t="s">
        <v>401</v>
      </c>
      <c r="C78" s="5" t="s">
        <v>402</v>
      </c>
      <c r="D78" s="6" t="s">
        <v>434</v>
      </c>
      <c r="E78" s="6" t="s">
        <v>435</v>
      </c>
      <c r="F78" s="6" t="s">
        <v>436</v>
      </c>
      <c r="G78" s="6" t="s">
        <v>437</v>
      </c>
      <c r="H78" s="7" t="s">
        <v>407</v>
      </c>
      <c r="I78" s="7" t="s">
        <v>23</v>
      </c>
      <c r="J78" s="7" t="s">
        <v>24</v>
      </c>
      <c r="K78" s="7" t="s">
        <v>25</v>
      </c>
      <c r="L78" s="7" t="n">
        <v>40</v>
      </c>
      <c r="M78" s="6" t="s">
        <v>438</v>
      </c>
    </row>
    <row r="79" customFormat="false" ht="15" hidden="false" customHeight="false" outlineLevel="0" collapsed="false">
      <c r="A79" s="4" t="s">
        <v>439</v>
      </c>
      <c r="B79" s="5" t="s">
        <v>401</v>
      </c>
      <c r="C79" s="5" t="s">
        <v>402</v>
      </c>
      <c r="D79" s="6" t="s">
        <v>440</v>
      </c>
      <c r="E79" s="6" t="s">
        <v>441</v>
      </c>
      <c r="F79" s="6" t="s">
        <v>442</v>
      </c>
      <c r="G79" s="6" t="s">
        <v>443</v>
      </c>
      <c r="H79" s="7" t="s">
        <v>22</v>
      </c>
      <c r="I79" s="7" t="s">
        <v>23</v>
      </c>
      <c r="J79" s="7" t="s">
        <v>219</v>
      </c>
      <c r="K79" s="7" t="s">
        <v>219</v>
      </c>
      <c r="L79" s="7" t="n">
        <v>24</v>
      </c>
      <c r="M79" s="6" t="s">
        <v>444</v>
      </c>
    </row>
    <row r="80" customFormat="false" ht="15" hidden="false" customHeight="false" outlineLevel="0" collapsed="false">
      <c r="A80" s="4" t="s">
        <v>445</v>
      </c>
      <c r="B80" s="5" t="s">
        <v>401</v>
      </c>
      <c r="C80" s="5" t="s">
        <v>402</v>
      </c>
      <c r="D80" s="6" t="s">
        <v>446</v>
      </c>
      <c r="E80" s="6" t="s">
        <v>447</v>
      </c>
      <c r="F80" s="6" t="s">
        <v>448</v>
      </c>
      <c r="G80" s="6" t="s">
        <v>449</v>
      </c>
      <c r="H80" s="7" t="s">
        <v>407</v>
      </c>
      <c r="I80" s="7" t="s">
        <v>23</v>
      </c>
      <c r="J80" s="7" t="s">
        <v>24</v>
      </c>
      <c r="K80" s="7" t="s">
        <v>52</v>
      </c>
      <c r="L80" s="7" t="n">
        <v>0</v>
      </c>
      <c r="M80" s="6"/>
    </row>
    <row r="81" customFormat="false" ht="15" hidden="false" customHeight="false" outlineLevel="0" collapsed="false">
      <c r="A81" s="4" t="s">
        <v>450</v>
      </c>
      <c r="B81" s="5" t="s">
        <v>451</v>
      </c>
      <c r="C81" s="5" t="s">
        <v>452</v>
      </c>
      <c r="D81" s="6" t="s">
        <v>453</v>
      </c>
      <c r="E81" s="6" t="s">
        <v>454</v>
      </c>
      <c r="F81" s="6" t="s">
        <v>455</v>
      </c>
      <c r="G81" s="6" t="s">
        <v>456</v>
      </c>
      <c r="H81" s="7" t="s">
        <v>22</v>
      </c>
      <c r="I81" s="7" t="s">
        <v>23</v>
      </c>
      <c r="J81" s="7" t="s">
        <v>24</v>
      </c>
      <c r="K81" s="7" t="s">
        <v>52</v>
      </c>
      <c r="L81" s="7" t="n">
        <v>4</v>
      </c>
      <c r="M81" s="6"/>
    </row>
    <row r="82" customFormat="false" ht="15" hidden="false" customHeight="false" outlineLevel="0" collapsed="false">
      <c r="A82" s="4" t="s">
        <v>457</v>
      </c>
      <c r="B82" s="5" t="s">
        <v>451</v>
      </c>
      <c r="C82" s="5" t="s">
        <v>452</v>
      </c>
      <c r="D82" s="6" t="s">
        <v>458</v>
      </c>
      <c r="E82" s="6" t="s">
        <v>459</v>
      </c>
      <c r="F82" s="6" t="s">
        <v>460</v>
      </c>
      <c r="G82" s="6" t="s">
        <v>461</v>
      </c>
      <c r="H82" s="7" t="s">
        <v>22</v>
      </c>
      <c r="I82" s="7" t="s">
        <v>23</v>
      </c>
      <c r="J82" s="7" t="s">
        <v>24</v>
      </c>
      <c r="K82" s="7" t="s">
        <v>52</v>
      </c>
      <c r="L82" s="7" t="n">
        <v>4</v>
      </c>
      <c r="M82" s="6"/>
    </row>
    <row r="83" customFormat="false" ht="15" hidden="false" customHeight="false" outlineLevel="0" collapsed="false">
      <c r="K83" s="8" t="s">
        <v>462</v>
      </c>
      <c r="L83" s="9" t="n">
        <f aca="false">SUM(L5:L82)</f>
        <v>1194</v>
      </c>
    </row>
  </sheetData>
  <autoFilter ref="A4:M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0" t="s">
        <v>463</v>
      </c>
    </row>
    <row r="3" customFormat="false" ht="15" hidden="false" customHeight="false" outlineLevel="0" collapsed="false">
      <c r="A3" s="11" t="s">
        <v>11</v>
      </c>
      <c r="B3" s="11" t="s">
        <v>464</v>
      </c>
      <c r="C3" s="11" t="s">
        <v>465</v>
      </c>
      <c r="E3" s="12" t="s">
        <v>466</v>
      </c>
      <c r="F3" s="12" t="s">
        <v>467</v>
      </c>
    </row>
    <row r="4" customFormat="false" ht="15" hidden="false" customHeight="false" outlineLevel="0" collapsed="false">
      <c r="A4" s="13" t="s">
        <v>24</v>
      </c>
      <c r="B4" s="14" t="n">
        <f aca="false">COUNTIF('Function List'!J5:J82,A4)</f>
        <v>59</v>
      </c>
      <c r="C4" s="14" t="n">
        <f aca="false">SUMIF('Function List'!J5:J82,A4,'Function List'!L5:L82)</f>
        <v>866</v>
      </c>
      <c r="E4" s="15" t="s">
        <v>23</v>
      </c>
      <c r="F4" s="14" t="n">
        <f aca="false">COUNTIF('Function List'!I5:I82,E4)</f>
        <v>74</v>
      </c>
    </row>
    <row r="5" customFormat="false" ht="15" hidden="false" customHeight="false" outlineLevel="0" collapsed="false">
      <c r="A5" s="13" t="s">
        <v>52</v>
      </c>
      <c r="B5" s="14" t="n">
        <f aca="false">COUNTIF('Function List'!J5:J82,A5)</f>
        <v>11</v>
      </c>
      <c r="C5" s="14" t="n">
        <f aca="false">SUMIF('Function List'!J5:J82,A5,'Function List'!L5:L82)</f>
        <v>184</v>
      </c>
      <c r="E5" s="15" t="s">
        <v>468</v>
      </c>
      <c r="F5" s="14" t="n">
        <f aca="false">COUNTIF('Function List'!I5:I82,E5)</f>
        <v>0</v>
      </c>
    </row>
    <row r="6" customFormat="false" ht="15" hidden="false" customHeight="false" outlineLevel="0" collapsed="false">
      <c r="A6" s="13" t="s">
        <v>219</v>
      </c>
      <c r="B6" s="14" t="n">
        <f aca="false">COUNTIF('Function List'!J5:J82,A6)</f>
        <v>8</v>
      </c>
      <c r="C6" s="14" t="n">
        <f aca="false">SUMIF('Function List'!J5:J82,A6,'Function List'!L5:L82)</f>
        <v>144</v>
      </c>
      <c r="E6" s="15" t="s">
        <v>58</v>
      </c>
      <c r="F6" s="14" t="n">
        <f aca="false">COUNTIF('Function List'!I5:I82,E6)</f>
        <v>4</v>
      </c>
    </row>
    <row r="7" customFormat="false" ht="15" hidden="false" customHeight="false" outlineLevel="0" collapsed="false">
      <c r="A7" s="16" t="s">
        <v>462</v>
      </c>
      <c r="B7" s="16" t="n">
        <f aca="false">SUM(B4:B6)</f>
        <v>78</v>
      </c>
      <c r="C7" s="16" t="n">
        <f aca="false">SUM(C4:C6)</f>
        <v>1194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2026-06-11T13:57:02Z</dcterms:created>
  <dc:creator>openpyxl</dc:creator>
  <dc:description/>
  <dc:language>en-US</dc:language>
  <cp:lastModifiedBy/>
  <dcterms:modified xsi:type="dcterms:W3CDTF">2026-06-11T13:57:02Z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