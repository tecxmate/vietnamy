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ction List" sheetId="1" state="visible" r:id="rId3"/>
    <sheet name="Summary" sheetId="2" state="visible" r:id="rId4"/>
    <sheet name="Assumptions &amp; Stack" sheetId="3" state="visible" r:id="rId5"/>
  </sheets>
  <definedNames>
    <definedName function="false" hidden="true" localSheetId="0" name="_xlnm._FilterDatabase" vbProcedure="false">'Function List'!$A$4:$N$113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<sst xmlns="http://schemas.openxmlformats.org/spreadsheetml/2006/main" count="1393" uniqueCount="660">
  <si>
    <t xml:space="preserve">Vietnamy Mobile (Flutter) — Feature List / Danh sách tính năng · EN / VI</t>
  </si>
  <si>
    <t xml:space="preserve">Stack: Flutter (iOS+Android) · own backend on Zeabur (accounts required) · Cloudflare R2 object storage · FCM/APNs. Offline: lessons offline + on-device SQLite dictionary; media &amp; translate online. Phase: P1=MVP, P2, P3. Est. Hours = rough engineering estimate (UI redesign included). Draft v0.1.</t>
  </si>
  <si>
    <t xml:space="preserve">ID</t>
  </si>
  <si>
    <t xml:space="preserve">Module (EN)</t>
  </si>
  <si>
    <t xml:space="preserve">Mô-đun (VI)</t>
  </si>
  <si>
    <t xml:space="preserve">Feature (EN)</t>
  </si>
  <si>
    <t xml:space="preserve">Chức năng (VI)</t>
  </si>
  <si>
    <t xml:space="preserve">Description (EN)</t>
  </si>
  <si>
    <t xml:space="preserve">Mô tả (VI)</t>
  </si>
  <si>
    <t xml:space="preserve">Role</t>
  </si>
  <si>
    <t xml:space="preserve">Build Type</t>
  </si>
  <si>
    <t xml:space="preserve">Phase</t>
  </si>
  <si>
    <t xml:space="preserve">MVP In-Scope</t>
  </si>
  <si>
    <t xml:space="preserve">Priority</t>
  </si>
  <si>
    <t xml:space="preserve">Est. Hours</t>
  </si>
  <si>
    <t xml:space="preserve">Notes (Flutter / Backend / R2)</t>
  </si>
  <si>
    <t xml:space="preserve">A-01</t>
  </si>
  <si>
    <t xml:space="preserve">Design &amp; UX Migration</t>
  </si>
  <si>
    <t xml:space="preserve">Tái thiết kế Giao diện &amp; Trải nghiệm</t>
  </si>
  <si>
    <t xml:space="preserve">Design system &amp; tokens</t>
  </si>
  <si>
    <t xml:space="preserve">Hệ thống thiết kế &amp; token</t>
  </si>
  <si>
    <t xml:space="preserve">New color, typography, spacing, elevation tokens themed for Flutter.</t>
  </si>
  <si>
    <t xml:space="preserve">Token màu, kiểu chữ, khoảng cách, đổ bóng mới cho Flutter.</t>
  </si>
  <si>
    <t xml:space="preserve">Design</t>
  </si>
  <si>
    <t xml:space="preserve">New</t>
  </si>
  <si>
    <t xml:space="preserve">P1</t>
  </si>
  <si>
    <t xml:space="preserve">Yes</t>
  </si>
  <si>
    <t xml:space="preserve">P0</t>
  </si>
  <si>
    <t xml:space="preserve">ThemeData + custom tokens</t>
  </si>
  <si>
    <t xml:space="preserve">A-02</t>
  </si>
  <si>
    <t xml:space="preserve">Component library</t>
  </si>
  <si>
    <t xml:space="preserve">Thư viện thành phần</t>
  </si>
  <si>
    <t xml:space="preserve">Buttons, cards, chips, progress bars, inputs as reusable widgets.</t>
  </si>
  <si>
    <t xml:space="preserve">Nút, thẻ, chip, thanh tiến độ, ô nhập dạng widget tái dùng.</t>
  </si>
  <si>
    <t xml:space="preserve">Reusable widget kit</t>
  </si>
  <si>
    <t xml:space="preserve">A-03</t>
  </si>
  <si>
    <t xml:space="preserve">Redesigned onboarding</t>
  </si>
  <si>
    <t xml:space="preserve">Thiết kế lại màn khởi tạo</t>
  </si>
  <si>
    <t xml:space="preserve">New visual flow for the 5-step onboarding.</t>
  </si>
  <si>
    <t xml:space="preserve">Luồng hình ảnh mới cho 5 bước khởi tạo.</t>
  </si>
  <si>
    <t xml:space="preserve">Rebuild</t>
  </si>
  <si>
    <t xml:space="preserve">A-04</t>
  </si>
  <si>
    <t xml:space="preserve">Redesigned Study/roadmap</t>
  </si>
  <si>
    <t xml:space="preserve">Thiết kế lại Lộ trình học</t>
  </si>
  <si>
    <t xml:space="preserve">New skill-tree visual &amp; node states.</t>
  </si>
  <si>
    <t xml:space="preserve">Hình ảnh cây kỹ năng &amp; trạng thái nút mới.</t>
  </si>
  <si>
    <t xml:space="preserve">A-05</t>
  </si>
  <si>
    <t xml:space="preserve">Redesigned lesson player</t>
  </si>
  <si>
    <t xml:space="preserve">Thiết kế lại trình bài học</t>
  </si>
  <si>
    <t xml:space="preserve">New exercise UI, transitions, feedback states.</t>
  </si>
  <si>
    <t xml:space="preserve">Giao diện bài tập, chuyển cảnh, phản hồi mới.</t>
  </si>
  <si>
    <t xml:space="preserve">A-06</t>
  </si>
  <si>
    <t xml:space="preserve">Redesigned dictionary &amp; reader</t>
  </si>
  <si>
    <t xml:space="preserve">Thiết kế lại từ điển &amp; trình đọc</t>
  </si>
  <si>
    <t xml:space="preserve">New search/result/word-card UI.</t>
  </si>
  <si>
    <t xml:space="preserve">Giao diện tìm kiếm/kết quả/thẻ từ mới.</t>
  </si>
  <si>
    <t xml:space="preserve">A-07</t>
  </si>
  <si>
    <t xml:space="preserve">Dark / light theming</t>
  </si>
  <si>
    <t xml:space="preserve">Giao diện sáng / tối</t>
  </si>
  <si>
    <t xml:space="preserve">Full theme support incl. system mode.</t>
  </si>
  <si>
    <t xml:space="preserve">Hỗ trợ giao diện sáng/tối theo hệ thống.</t>
  </si>
  <si>
    <t xml:space="preserve">A-08</t>
  </si>
  <si>
    <t xml:space="preserve">Motion, haptics &amp; sound</t>
  </si>
  <si>
    <t xml:space="preserve">Chuyển động, rung &amp; âm thanh</t>
  </si>
  <si>
    <t xml:space="preserve">Micro-animations, haptic feedback, SFX.</t>
  </si>
  <si>
    <t xml:space="preserve">Hiệu ứng nhỏ, phản hồi rung, âm thanh.</t>
  </si>
  <si>
    <t xml:space="preserve">P2</t>
  </si>
  <si>
    <t xml:space="preserve">No</t>
  </si>
  <si>
    <t xml:space="preserve">A-09</t>
  </si>
  <si>
    <t xml:space="preserve">Responsive &amp; accessibility</t>
  </si>
  <si>
    <t xml:space="preserve">Đáp ứng &amp; trợ năng</t>
  </si>
  <si>
    <t xml:space="preserve">Phone/tablet layouts, dynamic text, contrast, screen-reader labels.</t>
  </si>
  <si>
    <t xml:space="preserve">Bố cục điện thoại/máy tính bảng, chữ co giãn, tương phản, nhãn đọc màn hình.</t>
  </si>
  <si>
    <t xml:space="preserve">A-10</t>
  </si>
  <si>
    <t xml:space="preserve">App icon, splash &amp; store assets</t>
  </si>
  <si>
    <t xml:space="preserve">Biểu tượng, màn chờ &amp; tài nguyên cửa hàng</t>
  </si>
  <si>
    <t xml:space="preserve">Icon, splash, screenshots, store listing art.</t>
  </si>
  <si>
    <t xml:space="preserve">Biểu tượng, màn chờ, ảnh chụp, tài nguyên niêm yết.</t>
  </si>
  <si>
    <t xml:space="preserve">B-01</t>
  </si>
  <si>
    <t xml:space="preserve">Accounts &amp; Auth</t>
  </si>
  <si>
    <t xml:space="preserve">Tài khoản &amp; Xác thực</t>
  </si>
  <si>
    <t xml:space="preserve">Registration &amp; login (server)</t>
  </si>
  <si>
    <t xml:space="preserve">Đăng ký &amp; đăng nhập (máy chủ)</t>
  </si>
  <si>
    <t xml:space="preserve">Account creation + login against Zeabur backend.</t>
  </si>
  <si>
    <t xml:space="preserve">Tạo tài khoản + đăng nhập qua backend Zeabur.</t>
  </si>
  <si>
    <t xml:space="preserve">Learner</t>
  </si>
  <si>
    <t xml:space="preserve">Backend auth API; JWT</t>
  </si>
  <si>
    <t xml:space="preserve">B-02</t>
  </si>
  <si>
    <t xml:space="preserve">Phone + OTP / email</t>
  </si>
  <si>
    <t xml:space="preserve">Điện thoại + OTP / email</t>
  </si>
  <si>
    <t xml:space="preserve">Phone OTP and/or email+password sign-in.</t>
  </si>
  <si>
    <t xml:space="preserve">Đăng nhập OTP điện thoại và/hoặc email+mật khẩu.</t>
  </si>
  <si>
    <t xml:space="preserve">SMS/email provider</t>
  </si>
  <si>
    <t xml:space="preserve">B-03</t>
  </si>
  <si>
    <t xml:space="preserve">Social login (Google / Apple)</t>
  </si>
  <si>
    <t xml:space="preserve">Đăng nhập mạng xã hội (Google / Apple)</t>
  </si>
  <si>
    <t xml:space="preserve">OAuth via Google and Apple (Apple required on iOS).</t>
  </si>
  <si>
    <t xml:space="preserve">OAuth qua Google và Apple (iOS bắt buộc Apple).</t>
  </si>
  <si>
    <t xml:space="preserve">google_sign_in, sign_in_with_apple</t>
  </si>
  <si>
    <t xml:space="preserve">B-04</t>
  </si>
  <si>
    <t xml:space="preserve">Session &amp; token refresh</t>
  </si>
  <si>
    <t xml:space="preserve">Phiên &amp; làm mới token</t>
  </si>
  <si>
    <t xml:space="preserve">JWT access/refresh, secure token storage.</t>
  </si>
  <si>
    <t xml:space="preserve">JWT truy cập/làm mới, lưu token an toàn.</t>
  </si>
  <si>
    <t xml:space="preserve">flutter_secure_storage</t>
  </si>
  <si>
    <t xml:space="preserve">B-05</t>
  </si>
  <si>
    <t xml:space="preserve">User profile (server)</t>
  </si>
  <si>
    <t xml:space="preserve">Hồ sơ người dùng (máy chủ)</t>
  </si>
  <si>
    <t xml:space="preserve">Name, age, dialect, native language, mode, goal — stored server-side.</t>
  </si>
  <si>
    <t xml:space="preserve">Tên, tuổi, phương ngữ, tiếng mẹ đẻ, chế độ, mục tiêu — lưu trên máy chủ.</t>
  </si>
  <si>
    <t xml:space="preserve">Port</t>
  </si>
  <si>
    <t xml:space="preserve">B-06</t>
  </si>
  <si>
    <t xml:space="preserve">Password reset / recovery</t>
  </si>
  <si>
    <t xml:space="preserve">Đặt lại / khôi phục mật khẩu</t>
  </si>
  <si>
    <t xml:space="preserve">Self-service reset via email/OTP.</t>
  </si>
  <si>
    <t xml:space="preserve">Tự đặt lại qua email/OTP.</t>
  </si>
  <si>
    <t xml:space="preserve">B-07</t>
  </si>
  <si>
    <t xml:space="preserve">Account deletion</t>
  </si>
  <si>
    <t xml:space="preserve">Xoá tài khoản</t>
  </si>
  <si>
    <t xml:space="preserve">Self-service deletion (store requirement).</t>
  </si>
  <si>
    <t xml:space="preserve">Tự xoá tài khoản (yêu cầu của cửa hàng).</t>
  </si>
  <si>
    <t xml:space="preserve">App Store/Play mandatory</t>
  </si>
  <si>
    <t xml:space="preserve">B-08</t>
  </si>
  <si>
    <t xml:space="preserve">Age gate / minor mode</t>
  </si>
  <si>
    <t xml:space="preserve">Giới hạn tuổi / chế độ vị thành niên</t>
  </si>
  <si>
    <t xml:space="preserve">Capture age, light enforcement.</t>
  </si>
  <si>
    <t xml:space="preserve">Ghi nhận tuổi, áp dụng nhẹ.</t>
  </si>
  <si>
    <t xml:space="preserve">B-09</t>
  </si>
  <si>
    <t xml:space="preserve">Onboarding wizard</t>
  </si>
  <si>
    <t xml:space="preserve">Trình khởi tạo</t>
  </si>
  <si>
    <t xml:space="preserve">Goal, dialect/voice, level, daily goal.</t>
  </si>
  <si>
    <t xml:space="preserve">Mục tiêu, phương ngữ/giọng, trình độ, mục tiêu hằng ngày.</t>
  </si>
  <si>
    <t xml:space="preserve">B-10</t>
  </si>
  <si>
    <t xml:space="preserve">Placement micro-quiz</t>
  </si>
  <si>
    <t xml:space="preserve">Bài xếp lớp ngắn</t>
  </si>
  <si>
    <t xml:space="preserve">3-question placement routes true beginners to Foundations.</t>
  </si>
  <si>
    <t xml:space="preserve">3 câu xếp lớp đưa người mới vào phần Nền tảng.</t>
  </si>
  <si>
    <t xml:space="preserve">C-01</t>
  </si>
  <si>
    <t xml:space="preserve">Learning Roadmap</t>
  </si>
  <si>
    <t xml:space="preserve">Lộ trình học</t>
  </si>
  <si>
    <t xml:space="preserve">Skill-tree roadmap (Study)</t>
  </si>
  <si>
    <t xml:space="preserve">Lộ trình cây kỹ năng (Học)</t>
  </si>
  <si>
    <t xml:space="preserve">Units &amp; nodes, Duolingo-style.</t>
  </si>
  <si>
    <t xml:space="preserve">Đơn vị &amp; nút học kiểu Duolingo.</t>
  </si>
  <si>
    <t xml:space="preserve">C-02</t>
  </si>
  <si>
    <t xml:space="preserve">Node unlock rules</t>
  </si>
  <si>
    <t xml:space="preserve">Quy tắc mở khoá nút</t>
  </si>
  <si>
    <t xml:space="preserve">Prerequisite gating (unlock_rule).</t>
  </si>
  <si>
    <t xml:space="preserve">Khoá theo điều kiện tiên quyết.</t>
  </si>
  <si>
    <t xml:space="preserve">C-03</t>
  </si>
  <si>
    <t xml:space="preserve">4 module kinds</t>
  </si>
  <si>
    <t xml:space="preserve">4 loại mô-đun</t>
  </si>
  <si>
    <t xml:space="preserve">Pronunciation / Vocab / Grammar / Test.</t>
  </si>
  <si>
    <t xml:space="preserve">Phát âm / Từ vựng / Ngữ pháp / Kiểm tra.</t>
  </si>
  <si>
    <t xml:space="preserve">C-04</t>
  </si>
  <si>
    <t xml:space="preserve">Unit tests</t>
  </si>
  <si>
    <t xml:space="preserve">Bài kiểm tra đơn vị</t>
  </si>
  <si>
    <t xml:space="preserve">End-of-unit gating test.</t>
  </si>
  <si>
    <t xml:space="preserve">Bài kiểm tra chặn cuối đơn vị.</t>
  </si>
  <si>
    <t xml:space="preserve">C-05</t>
  </si>
  <si>
    <t xml:space="preserve">Roleplay scenes</t>
  </si>
  <si>
    <t xml:space="preserve">Cảnh nhập vai</t>
  </si>
  <si>
    <t xml:space="preserve">Scene-based practice.</t>
  </si>
  <si>
    <t xml:space="preserve">Luyện tập theo cảnh.</t>
  </si>
  <si>
    <t xml:space="preserve">C-06</t>
  </si>
  <si>
    <t xml:space="preserve">Per-lesson mini-quiz</t>
  </si>
  <si>
    <t xml:space="preserve">Kiểm tra nhỏ mỗi bài</t>
  </si>
  <si>
    <t xml:space="preserve">Auto mini-quiz on vocab lessons.</t>
  </si>
  <si>
    <t xml:space="preserve">Kiểm tra nhỏ tự gắn vào bài từ vựng.</t>
  </si>
  <si>
    <t xml:space="preserve">C-07</t>
  </si>
  <si>
    <t xml:space="preserve">Progress / streak / coins header</t>
  </si>
  <si>
    <t xml:space="preserve">Thanh tiến độ / chuỗi / xu</t>
  </si>
  <si>
    <t xml:space="preserve">Roadmap header summary.</t>
  </si>
  <si>
    <t xml:space="preserve">Tóm tắt đầu trang lộ trình.</t>
  </si>
  <si>
    <t xml:space="preserve">D-01</t>
  </si>
  <si>
    <t xml:space="preserve">Lesson Engine</t>
  </si>
  <si>
    <t xml:space="preserve">Hệ thống bài học</t>
  </si>
  <si>
    <t xml:space="preserve">Interactive lesson player</t>
  </si>
  <si>
    <t xml:space="preserve">Trình bài học tương tác</t>
  </si>
  <si>
    <t xml:space="preserve">Runs an exercise session end-to-end.</t>
  </si>
  <si>
    <t xml:space="preserve">Chạy trọn một phiên bài tập.</t>
  </si>
  <si>
    <t xml:space="preserve">D-02</t>
  </si>
  <si>
    <t xml:space="preserve">10 exercise types</t>
  </si>
  <si>
    <t xml:space="preserve">10 loại bài tập</t>
  </si>
  <si>
    <t xml:space="preserve">MCQ (VI↔EN), listen-choose, listen-type, match, reorder, fill-blank, word-bank, picture, speak.</t>
  </si>
  <si>
    <t xml:space="preserve">Trắc nghiệm (Việt↔Anh), nghe-chọn, nghe-gõ, ghép, sắp xếp, điền khuyết, ngân hàng từ, ảnh, nói.</t>
  </si>
  <si>
    <t xml:space="preserve">D-03</t>
  </si>
  <si>
    <t xml:space="preserve">Vocab intro cards</t>
  </si>
  <si>
    <t xml:space="preserve">Thẻ giới thiệu từ vựng</t>
  </si>
  <si>
    <t xml:space="preserve">Word + image + audio teaching cards.</t>
  </si>
  <si>
    <t xml:space="preserve">Thẻ dạy từ + hình + âm thanh.</t>
  </si>
  <si>
    <t xml:space="preserve">D-04</t>
  </si>
  <si>
    <t xml:space="preserve">In-lesson streak/combo</t>
  </si>
  <si>
    <t xml:space="preserve">Chuỗi/combo trong bài</t>
  </si>
  <si>
    <t xml:space="preserve">Combo counter during a session.</t>
  </si>
  <si>
    <t xml:space="preserve">Bộ đếm combo trong phiên.</t>
  </si>
  <si>
    <t xml:space="preserve">D-05</t>
  </si>
  <si>
    <t xml:space="preserve">Reward + SRS hand-off</t>
  </si>
  <si>
    <t xml:space="preserve">Thưởng + chuyển sang ôn tập</t>
  </si>
  <si>
    <t xml:space="preserve">Award XP/coins, enqueue words to SRS.</t>
  </si>
  <si>
    <t xml:space="preserve">Thưởng XP/xu, đưa từ vào SRS.</t>
  </si>
  <si>
    <t xml:space="preserve">D-06</t>
  </si>
  <si>
    <t xml:space="preserve">Grammar tip chip</t>
  </si>
  <si>
    <t xml:space="preserve">Gợi ý ngữ pháp (chip)</t>
  </si>
  <si>
    <t xml:space="preserve">In-context expandable grammar tip.</t>
  </si>
  <si>
    <t xml:space="preserve">Gợi ý ngữ pháp mở rộng tại chỗ.</t>
  </si>
  <si>
    <t xml:space="preserve">D-07</t>
  </si>
  <si>
    <t xml:space="preserve">Lesson notebook</t>
  </si>
  <si>
    <t xml:space="preserve">Sổ tay bài học</t>
  </si>
  <si>
    <t xml:space="preserve">Slide-over of words/tips taught so far.</t>
  </si>
  <si>
    <t xml:space="preserve">Bảng trượt liệt kê từ/gợi ý đã học.</t>
  </si>
  <si>
    <t xml:space="preserve">D-08</t>
  </si>
  <si>
    <t xml:space="preserve">Grammar unit lesson</t>
  </si>
  <si>
    <t xml:space="preserve">Bài đơn vị ngữ pháp</t>
  </si>
  <si>
    <t xml:space="preserve">Dedicated grammar unit player.</t>
  </si>
  <si>
    <t xml:space="preserve">Trình chơi bài đơn vị ngữ pháp.</t>
  </si>
  <si>
    <t xml:space="preserve">E-01</t>
  </si>
  <si>
    <t xml:space="preserve">Practice Modules</t>
  </si>
  <si>
    <t xml:space="preserve">Mô-đun luyện tập</t>
  </si>
  <si>
    <t xml:space="preserve">Tones + pitch graph</t>
  </si>
  <si>
    <t xml:space="preserve">Thanh điệu + đồ thị cao độ</t>
  </si>
  <si>
    <t xml:space="preserve">By-ear tone training, real-time pitch.</t>
  </si>
  <si>
    <t xml:space="preserve">Luyện thanh bằng tai, cao độ thời gian thực.</t>
  </si>
  <si>
    <t xml:space="preserve">flutter pitch/FFT; mic</t>
  </si>
  <si>
    <t xml:space="preserve">E-02</t>
  </si>
  <si>
    <t xml:space="preserve">Vowels (single &amp; diphthong)</t>
  </si>
  <si>
    <t xml:space="preserve">Nguyên âm (đơn &amp; đôi)</t>
  </si>
  <si>
    <t xml:space="preserve">Vowel-quality drills incl. ơ ư ê ô ă â.</t>
  </si>
  <si>
    <t xml:space="preserve">Bài luyện chất nguyên âm gồm ơ ư ê ô ă â.</t>
  </si>
  <si>
    <t xml:space="preserve">E-03</t>
  </si>
  <si>
    <t xml:space="preserve">Alphabet &amp; consonants</t>
  </si>
  <si>
    <t xml:space="preserve">Bảng chữ cái &amp; phụ âm</t>
  </si>
  <si>
    <t xml:space="preserve">Alphabet, initial &amp; final consonant drills.</t>
  </si>
  <si>
    <t xml:space="preserve">Bảng chữ cái, phụ âm đầu &amp; cuối.</t>
  </si>
  <si>
    <t xml:space="preserve">E-04</t>
  </si>
  <si>
    <t xml:space="preserve">Numbers</t>
  </si>
  <si>
    <t xml:space="preserve">Số đếm</t>
  </si>
  <si>
    <t xml:space="preserve">Counting, prices, time, ages.</t>
  </si>
  <si>
    <t xml:space="preserve">Đếm số, giá, thời gian, tuổi.</t>
  </si>
  <si>
    <t xml:space="preserve">E-05</t>
  </si>
  <si>
    <t xml:space="preserve">Pronouns &amp; kinship</t>
  </si>
  <si>
    <t xml:space="preserve">Đại từ &amp; xưng hô họ hàng</t>
  </si>
  <si>
    <t xml:space="preserve">Pronouns, kinship foundation/calculator/engine.</t>
  </si>
  <si>
    <t xml:space="preserve">Đại từ, nền tảng/máy tính/bộ suy luận xưng hô.</t>
  </si>
  <si>
    <t xml:space="preserve">E-06</t>
  </si>
  <si>
    <t xml:space="preserve">Classifiers, particles, question words</t>
  </si>
  <si>
    <t xml:space="preserve">Loại từ, tiểu từ, từ để hỏi</t>
  </si>
  <si>
    <t xml:space="preserve">Grammar-word drill sets.</t>
  </si>
  <si>
    <t xml:space="preserve">Các bộ bài luyện từ ngữ pháp.</t>
  </si>
  <si>
    <t xml:space="preserve">E-07</t>
  </si>
  <si>
    <t xml:space="preserve">Aspect markers &amp; misc grammar words</t>
  </si>
  <si>
    <t xml:space="preserve">Dấu thì/thể &amp; nhóm từ khác</t>
  </si>
  <si>
    <t xml:space="preserve">đã/đang/sẽ, connectors, adverbs, quantifiers, etc.</t>
  </si>
  <si>
    <t xml:space="preserve">đã/đang/sẽ, liên từ, trạng từ, lượng từ, v.v.</t>
  </si>
  <si>
    <t xml:space="preserve">E-08</t>
  </si>
  <si>
    <t xml:space="preserve">TELEX typing</t>
  </si>
  <si>
    <t xml:space="preserve">Gõ TELEX</t>
  </si>
  <si>
    <t xml:space="preserve">Type Vietnamese diacritics via TELEX.</t>
  </si>
  <si>
    <t xml:space="preserve">Gõ dấu tiếng Việt bằng TELEX.</t>
  </si>
  <si>
    <t xml:space="preserve">Custom input handling</t>
  </si>
  <si>
    <t xml:space="preserve">E-09</t>
  </si>
  <si>
    <t xml:space="preserve">Teen code</t>
  </si>
  <si>
    <t xml:space="preserve">Tiếng lóng teen</t>
  </si>
  <si>
    <t xml:space="preserve">Internet slang decoding (side-quest).</t>
  </si>
  <si>
    <t xml:space="preserve">Giải mã tiếng lóng mạng (nhiệm vụ phụ).</t>
  </si>
  <si>
    <t xml:space="preserve">P3</t>
  </si>
  <si>
    <t xml:space="preserve">F-01</t>
  </si>
  <si>
    <t xml:space="preserve">Dictionary</t>
  </si>
  <si>
    <t xml:space="preserve">Từ điển</t>
  </si>
  <si>
    <t xml:space="preserve">On-device dictionary DB</t>
  </si>
  <si>
    <t xml:space="preserve">CSDL từ điển trên thiết bị</t>
  </si>
  <si>
    <t xml:space="preserve">Ship/download ~100MB SQLite for offline lookup.</t>
  </si>
  <si>
    <t xml:space="preserve">Đóng gói/tải SQLite ~100MB để tra ngoại tuyến.</t>
  </si>
  <si>
    <t xml:space="preserve">drift/sqflite; staged download</t>
  </si>
  <si>
    <t xml:space="preserve">F-02</t>
  </si>
  <si>
    <t xml:space="preserve">Dictionary update / delta sync</t>
  </si>
  <si>
    <t xml:space="preserve">Cập nhật / đồng bộ delta từ điển</t>
  </si>
  <si>
    <t xml:space="preserve">Versioned dictionary updates from backend/R2.</t>
  </si>
  <si>
    <t xml:space="preserve">Cập nhật từ điển theo phiên bản từ backend/R2.</t>
  </si>
  <si>
    <t xml:space="preserve">R2 hosted DB packs</t>
  </si>
  <si>
    <t xml:space="preserve">F-03</t>
  </si>
  <si>
    <t xml:space="preserve">Fuzzy search &amp; suggest</t>
  </si>
  <si>
    <t xml:space="preserve">Tìm kiếm mờ &amp; gợi ý</t>
  </si>
  <si>
    <t xml:space="preserve">On-device autocomplete + fuzzy match.</t>
  </si>
  <si>
    <t xml:space="preserve">Tự hoàn thành + so khớp mờ trên thiết bị.</t>
  </si>
  <si>
    <t xml:space="preserve">F-04</t>
  </si>
  <si>
    <t xml:space="preserve">Full search (diacritics, IPA, examples)</t>
  </si>
  <si>
    <t xml:space="preserve">Tìm kiếm đầy đủ (dấu, IPA, ví dụ)</t>
  </si>
  <si>
    <t xml:space="preserve">Multi-source results with examples.</t>
  </si>
  <si>
    <t xml:space="preserve">Kết quả đa nguồn kèm ví dụ.</t>
  </si>
  <si>
    <t xml:space="preserve">F-05</t>
  </si>
  <si>
    <t xml:space="preserve">Compound decomposition / segmentation</t>
  </si>
  <si>
    <t xml:space="preserve">Tách từ ghép</t>
  </si>
  <si>
    <t xml:space="preserve">Segment compounds into parts.</t>
  </si>
  <si>
    <t xml:space="preserve">Tách từ ghép thành thành phần.</t>
  </si>
  <si>
    <t xml:space="preserve">F-06</t>
  </si>
  <si>
    <t xml:space="preserve">Word popup card</t>
  </si>
  <si>
    <t xml:space="preserve">Thẻ bật lên của từ</t>
  </si>
  <si>
    <t xml:space="preserve">Tap word → detail card with audio.</t>
  </si>
  <si>
    <t xml:space="preserve">Chạm từ → thẻ chi tiết kèm âm thanh.</t>
  </si>
  <si>
    <t xml:space="preserve">F-07</t>
  </si>
  <si>
    <t xml:space="preserve">Saved words &amp; decks</t>
  </si>
  <si>
    <t xml:space="preserve">Từ đã lưu &amp; bộ thẻ</t>
  </si>
  <si>
    <t xml:space="preserve">Save and group words; synced to server.</t>
  </si>
  <si>
    <t xml:space="preserve">Lưu và gom từ; đồng bộ máy chủ.</t>
  </si>
  <si>
    <t xml:space="preserve">F-08</t>
  </si>
  <si>
    <t xml:space="preserve">Multi-language pairs</t>
  </si>
  <si>
    <t xml:space="preserve">Cặp đa ngôn ngữ</t>
  </si>
  <si>
    <r>
      <rPr>
        <sz val="9"/>
        <rFont val="Arial"/>
        <family val="0"/>
        <charset val="1"/>
      </rPr>
      <t xml:space="preserve">EN/</t>
    </r>
    <r>
      <rPr>
        <sz val="9"/>
        <rFont val="DejaVu Sans"/>
        <family val="2"/>
      </rPr>
      <t xml:space="preserve">中文 </t>
    </r>
    <r>
      <rPr>
        <sz val="9"/>
        <rFont val="Arial"/>
        <family val="0"/>
        <charset val="1"/>
      </rPr>
      <t xml:space="preserve">+ additional pairs.</t>
    </r>
  </si>
  <si>
    <r>
      <rPr>
        <sz val="9"/>
        <rFont val="Arial"/>
        <family val="0"/>
        <charset val="1"/>
      </rPr>
      <t xml:space="preserve">EN/</t>
    </r>
    <r>
      <rPr>
        <sz val="9"/>
        <rFont val="DejaVu Sans"/>
        <family val="2"/>
      </rPr>
      <t xml:space="preserve">中文 </t>
    </r>
    <r>
      <rPr>
        <sz val="9"/>
        <rFont val="Arial"/>
        <family val="0"/>
        <charset val="1"/>
      </rPr>
      <t xml:space="preserve">+ các cặp khác.</t>
    </r>
  </si>
  <si>
    <t xml:space="preserve">G-01</t>
  </si>
  <si>
    <t xml:space="preserve">SRS &amp; Flashcards</t>
  </si>
  <si>
    <t xml:space="preserve">Ôn tập ngắt quãng &amp; Thẻ</t>
  </si>
  <si>
    <t xml:space="preserve">SM-2 scheduling</t>
  </si>
  <si>
    <t xml:space="preserve">Lập lịch SM-2</t>
  </si>
  <si>
    <t xml:space="preserve">Intervals 1/3/7/14/30 days.</t>
  </si>
  <si>
    <t xml:space="preserve">Khoảng 1/3/7/14/30 ngày.</t>
  </si>
  <si>
    <t xml:space="preserve">G-02</t>
  </si>
  <si>
    <t xml:space="preserve">Flashcard review</t>
  </si>
  <si>
    <t xml:space="preserve">Ôn thẻ ghi nhớ</t>
  </si>
  <si>
    <t xml:space="preserve">Review due words, grade recall.</t>
  </si>
  <si>
    <t xml:space="preserve">Ôn từ đến hạn, chấm độ nhớ.</t>
  </si>
  <si>
    <t xml:space="preserve">G-03</t>
  </si>
  <si>
    <t xml:space="preserve">Custom decks</t>
  </si>
  <si>
    <t xml:space="preserve">Bộ thẻ tự tạo</t>
  </si>
  <si>
    <t xml:space="preserve">User-created review decks.</t>
  </si>
  <si>
    <t xml:space="preserve">Bộ thẻ ôn do người dùng tạo.</t>
  </si>
  <si>
    <t xml:space="preserve">G-04</t>
  </si>
  <si>
    <t xml:space="preserve">Server sync of SRS state</t>
  </si>
  <si>
    <t xml:space="preserve">Đồng bộ trạng thái SRS</t>
  </si>
  <si>
    <t xml:space="preserve">Persist schedule &amp; grades to backend.</t>
  </si>
  <si>
    <t xml:space="preserve">Lưu lịch &amp; điểm lên backend.</t>
  </si>
  <si>
    <t xml:space="preserve">H-01</t>
  </si>
  <si>
    <t xml:space="preserve">Reading &amp; Grammar</t>
  </si>
  <si>
    <t xml:space="preserve">Bài đọc &amp; Ngữ pháp</t>
  </si>
  <si>
    <t xml:space="preserve">Article reading library</t>
  </si>
  <si>
    <t xml:space="preserve">Thư viện bài đọc</t>
  </si>
  <si>
    <t xml:space="preserve">Browse + read articles.</t>
  </si>
  <si>
    <t xml:space="preserve">Duyệt + đọc bài.</t>
  </si>
  <si>
    <t xml:space="preserve">H-02</t>
  </si>
  <si>
    <t xml:space="preserve">Tap-to-define reading</t>
  </si>
  <si>
    <t xml:space="preserve">Đọc chạm để tra nghĩa</t>
  </si>
  <si>
    <t xml:space="preserve">In-article word lookup.</t>
  </si>
  <si>
    <t xml:space="preserve">Tra từ trong bài.</t>
  </si>
  <si>
    <t xml:space="preserve">H-03</t>
  </si>
  <si>
    <t xml:space="preserve">Grammar browser by level</t>
  </si>
  <si>
    <t xml:space="preserve">Duyệt ngữ pháp theo cấp</t>
  </si>
  <si>
    <t xml:space="preserve">CEFR-level grammar index.</t>
  </si>
  <si>
    <t xml:space="preserve">Danh mục ngữ pháp theo cấp CEFR.</t>
  </si>
  <si>
    <t xml:space="preserve">H-04</t>
  </si>
  <si>
    <t xml:space="preserve">Grammar detail / guidebook</t>
  </si>
  <si>
    <t xml:space="preserve">Chi tiết ngữ pháp / cẩm nang</t>
  </si>
  <si>
    <t xml:space="preserve">Explanations with examples + bank/tags.</t>
  </si>
  <si>
    <t xml:space="preserve">Giải thích kèm ví dụ + ngân hàng/nhãn.</t>
  </si>
  <si>
    <t xml:space="preserve">I-01</t>
  </si>
  <si>
    <t xml:space="preserve">Gamification</t>
  </si>
  <si>
    <t xml:space="preserve">Trò chơi hoá</t>
  </si>
  <si>
    <t xml:space="preserve">Coins (đồng ₫)</t>
  </si>
  <si>
    <t xml:space="preserve">Xu (đồng ₫)</t>
  </si>
  <si>
    <t xml:space="preserve">Virtual currency from lessons.</t>
  </si>
  <si>
    <t xml:space="preserve">Tiền ảo từ bài học.</t>
  </si>
  <si>
    <t xml:space="preserve">I-02</t>
  </si>
  <si>
    <t xml:space="preserve">Daily streaks</t>
  </si>
  <si>
    <t xml:space="preserve">Chuỗi ngày học</t>
  </si>
  <si>
    <t xml:space="preserve">Consecutive active days + freezes.</t>
  </si>
  <si>
    <t xml:space="preserve">Số ngày học liên tiếp + bảo vệ chuỗi.</t>
  </si>
  <si>
    <t xml:space="preserve">I-03</t>
  </si>
  <si>
    <t xml:space="preserve">XP &amp; levels</t>
  </si>
  <si>
    <t xml:space="preserve">XP &amp; cấp độ</t>
  </si>
  <si>
    <t xml:space="preserve">Experience and leveling.</t>
  </si>
  <si>
    <t xml:space="preserve">Kinh nghiệm và lên cấp.</t>
  </si>
  <si>
    <t xml:space="preserve">I-04</t>
  </si>
  <si>
    <t xml:space="preserve">Mascot (Bé Khê)</t>
  </si>
  <si>
    <t xml:space="preserve">Linh vật (Bé Khê)</t>
  </si>
  <si>
    <t xml:space="preserve">Guiding mascot, redesigned.</t>
  </si>
  <si>
    <t xml:space="preserve">Linh vật dẫn dắt, thiết kế lại.</t>
  </si>
  <si>
    <t xml:space="preserve">I-05</t>
  </si>
  <si>
    <t xml:space="preserve">Achievements / badges</t>
  </si>
  <si>
    <t xml:space="preserve">Thành tựu / huy hiệu</t>
  </si>
  <si>
    <t xml:space="preserve">Earnable badges &amp; milestones.</t>
  </si>
  <si>
    <t xml:space="preserve">Huy hiệu &amp; cột mốc đạt được.</t>
  </si>
  <si>
    <t xml:space="preserve">J-01</t>
  </si>
  <si>
    <t xml:space="preserve">Audio &amp; Speech</t>
  </si>
  <si>
    <t xml:space="preserve">Âm thanh &amp; Giọng nói</t>
  </si>
  <si>
    <t xml:space="preserve">TTS playback (backend + R2 cache)</t>
  </si>
  <si>
    <t xml:space="preserve">Phát TTS (backend + cache R2)</t>
  </si>
  <si>
    <t xml:space="preserve">Backend generates, caches to R2, app caches on device.</t>
  </si>
  <si>
    <t xml:space="preserve">Backend tạo, cache lên R2, app cache trên thiết bị.</t>
  </si>
  <si>
    <t xml:space="preserve">just_audio; R2 CDN</t>
  </si>
  <si>
    <t xml:space="preserve">J-02</t>
  </si>
  <si>
    <t xml:space="preserve">On-device TTS fallback</t>
  </si>
  <si>
    <t xml:space="preserve">TTS dự phòng trên thiết bị</t>
  </si>
  <si>
    <t xml:space="preserve">Native TTS when offline/uncached.</t>
  </si>
  <si>
    <t xml:space="preserve">TTS nội bộ khi ngoại tuyến/chưa cache.</t>
  </si>
  <si>
    <t xml:space="preserve">flutter_tts</t>
  </si>
  <si>
    <t xml:space="preserve">J-03</t>
  </si>
  <si>
    <t xml:space="preserve">Pronunciation scoring</t>
  </si>
  <si>
    <t xml:space="preserve">Chấm điểm phát âm</t>
  </si>
  <si>
    <t xml:space="preserve">Record → backend scoring service.</t>
  </si>
  <si>
    <t xml:space="preserve">Thu âm → dịch vụ chấm điểm backend.</t>
  </si>
  <si>
    <t xml:space="preserve">record pkg; upload</t>
  </si>
  <si>
    <t xml:space="preserve">J-04</t>
  </si>
  <si>
    <t xml:space="preserve">Pitch detection (tones)</t>
  </si>
  <si>
    <t xml:space="preserve">Phát hiện cao độ (thanh điệu)</t>
  </si>
  <si>
    <t xml:space="preserve">Real-time pitch for tone practice.</t>
  </si>
  <si>
    <t xml:space="preserve">Cao độ thời gian thực cho luyện thanh.</t>
  </si>
  <si>
    <t xml:space="preserve">J-05</t>
  </si>
  <si>
    <t xml:space="preserve">Audio caching &amp; prefetch</t>
  </si>
  <si>
    <t xml:space="preserve">Cache &amp; tải trước âm thanh</t>
  </si>
  <si>
    <t xml:space="preserve">Cache curriculum audio for offline lessons.</t>
  </si>
  <si>
    <t xml:space="preserve">Cache âm thanh giáo trình cho bài ngoại tuyến.</t>
  </si>
  <si>
    <t xml:space="preserve">K-01</t>
  </si>
  <si>
    <t xml:space="preserve">Media &amp; Object Storage (R2)</t>
  </si>
  <si>
    <t xml:space="preserve">Lưu trữ Đối tượng (R2)</t>
  </si>
  <si>
    <t xml:space="preserve">R2 buckets &amp; CDN delivery</t>
  </si>
  <si>
    <t xml:space="preserve">Bucket R2 &amp; phân phối CDN</t>
  </si>
  <si>
    <t xml:space="preserve">Buckets for tts-cache, images, video; CDN URLs.</t>
  </si>
  <si>
    <t xml:space="preserve">Bucket cho tts-cache, ảnh, video; URL CDN.</t>
  </si>
  <si>
    <t xml:space="preserve">System</t>
  </si>
  <si>
    <t xml:space="preserve">Cloudflare R2 + CDN</t>
  </si>
  <si>
    <t xml:space="preserve">K-02</t>
  </si>
  <si>
    <t xml:space="preserve">Signed URL / access control</t>
  </si>
  <si>
    <t xml:space="preserve">URL ký / kiểm soát truy cập</t>
  </si>
  <si>
    <t xml:space="preserve">Time-limited signed URLs for protected media.</t>
  </si>
  <si>
    <t xml:space="preserve">URL ký giới hạn thời gian cho media bảo vệ.</t>
  </si>
  <si>
    <t xml:space="preserve">K-03</t>
  </si>
  <si>
    <t xml:space="preserve">Image assets pipeline</t>
  </si>
  <si>
    <t xml:space="preserve">Quy trình tài nguyên ảnh</t>
  </si>
  <si>
    <t xml:space="preserve">Optimized images via R2, cached in app.</t>
  </si>
  <si>
    <t xml:space="preserve">Ảnh tối ưu qua R2, cache trong app.</t>
  </si>
  <si>
    <t xml:space="preserve">cached_network_image</t>
  </si>
  <si>
    <t xml:space="preserve">K-04</t>
  </si>
  <si>
    <t xml:space="preserve">Video backdrop playback</t>
  </si>
  <si>
    <t xml:space="preserve">Phát video nền</t>
  </si>
  <si>
    <t xml:space="preserve">Looping muted MP4 backdrops from R2.</t>
  </si>
  <si>
    <t xml:space="preserve">Video nền MP4 lặp, tắt tiếng từ R2.</t>
  </si>
  <si>
    <t xml:space="preserve">video_player; ≤30s loop</t>
  </si>
  <si>
    <t xml:space="preserve">L-01</t>
  </si>
  <si>
    <t xml:space="preserve">Localization</t>
  </si>
  <si>
    <t xml:space="preserve">Đa ngôn ngữ</t>
  </si>
  <si>
    <r>
      <rPr>
        <sz val="9"/>
        <rFont val="Arial"/>
        <family val="0"/>
        <charset val="1"/>
      </rPr>
      <t xml:space="preserve">UI language (EN / </t>
    </r>
    <r>
      <rPr>
        <sz val="9"/>
        <rFont val="DejaVu Sans"/>
        <family val="2"/>
      </rPr>
      <t xml:space="preserve">中文 </t>
    </r>
    <r>
      <rPr>
        <sz val="9"/>
        <rFont val="Arial"/>
        <family val="0"/>
        <charset val="1"/>
      </rPr>
      <t xml:space="preserve">/ VI)</t>
    </r>
  </si>
  <si>
    <r>
      <rPr>
        <sz val="9"/>
        <rFont val="Arial"/>
        <family val="0"/>
        <charset val="1"/>
      </rPr>
      <t xml:space="preserve">Ngôn ngữ giao diện (EN / </t>
    </r>
    <r>
      <rPr>
        <sz val="9"/>
        <rFont val="DejaVu Sans"/>
        <family val="2"/>
      </rPr>
      <t xml:space="preserve">中文 </t>
    </r>
    <r>
      <rPr>
        <sz val="9"/>
        <rFont val="Arial"/>
        <family val="0"/>
        <charset val="1"/>
      </rPr>
      <t xml:space="preserve">/ VI)</t>
    </r>
  </si>
  <si>
    <t xml:space="preserve">Interface localization framework.</t>
  </si>
  <si>
    <t xml:space="preserve">Khung bản địa hoá giao diện.</t>
  </si>
  <si>
    <t xml:space="preserve">easy_localization / intl</t>
  </si>
  <si>
    <t xml:space="preserve">L-02</t>
  </si>
  <si>
    <t xml:space="preserve">Simplified / Traditional Chinese</t>
  </si>
  <si>
    <t xml:space="preserve">Trung giản thể / phồn thể</t>
  </si>
  <si>
    <t xml:space="preserve">OpenCC conversion for ZH learners.</t>
  </si>
  <si>
    <t xml:space="preserve">Chuyển đổi OpenCC cho người học tiếng Trung.</t>
  </si>
  <si>
    <t xml:space="preserve">M-01</t>
  </si>
  <si>
    <t xml:space="preserve">Push Notifications</t>
  </si>
  <si>
    <t xml:space="preserve">Thông báo đẩy</t>
  </si>
  <si>
    <t xml:space="preserve">FCM / APNs integration</t>
  </si>
  <si>
    <t xml:space="preserve">Tích hợp FCM / APNs</t>
  </si>
  <si>
    <t xml:space="preserve">Native push pipeline both platforms.</t>
  </si>
  <si>
    <t xml:space="preserve">Đường dẫn đẩy gốc cho cả hai nền tảng.</t>
  </si>
  <si>
    <t xml:space="preserve">firebase_messaging</t>
  </si>
  <si>
    <t xml:space="preserve">M-02</t>
  </si>
  <si>
    <t xml:space="preserve">Streak &amp; study reminders</t>
  </si>
  <si>
    <t xml:space="preserve">Nhắc chuỗi &amp; nhắc học</t>
  </si>
  <si>
    <t xml:space="preserve">Scheduled reminders to return.</t>
  </si>
  <si>
    <t xml:space="preserve">Nhắc nhở quay lại học theo lịch.</t>
  </si>
  <si>
    <t xml:space="preserve">Backend scheduler</t>
  </si>
  <si>
    <t xml:space="preserve">M-03</t>
  </si>
  <si>
    <t xml:space="preserve">Re-engagement campaigns</t>
  </si>
  <si>
    <t xml:space="preserve">Chiến dịch kéo lại người dùng</t>
  </si>
  <si>
    <t xml:space="preserve">Targeted win-back pushes.</t>
  </si>
  <si>
    <t xml:space="preserve">Đẩy kéo lại người dùng có mục tiêu.</t>
  </si>
  <si>
    <t xml:space="preserve">Marketing</t>
  </si>
  <si>
    <t xml:space="preserve">M-04</t>
  </si>
  <si>
    <t xml:space="preserve">Notification preferences</t>
  </si>
  <si>
    <t xml:space="preserve">Tuỳ chọn thông báo</t>
  </si>
  <si>
    <t xml:space="preserve">User opt-in/out per category.</t>
  </si>
  <si>
    <t xml:space="preserve">Người dùng bật/tắt theo loại.</t>
  </si>
  <si>
    <t xml:space="preserve">N-01</t>
  </si>
  <si>
    <t xml:space="preserve">Monetization</t>
  </si>
  <si>
    <t xml:space="preserve">Kiếm tiền</t>
  </si>
  <si>
    <t xml:space="preserve">Subscription tiers (Pro)</t>
  </si>
  <si>
    <t xml:space="preserve">Gói thuê bao (Pro)</t>
  </si>
  <si>
    <t xml:space="preserve">Free vs Pro plan definition &amp; gating.</t>
  </si>
  <si>
    <t xml:space="preserve">Định nghĩa gói Miễn phí vs Pro &amp; giới hạn.</t>
  </si>
  <si>
    <t xml:space="preserve">N-02</t>
  </si>
  <si>
    <t xml:space="preserve">In-app purchases (Apple / Google)</t>
  </si>
  <si>
    <t xml:space="preserve">Mua trong ứng dụng (Apple / Google)</t>
  </si>
  <si>
    <t xml:space="preserve">Store billing integration.</t>
  </si>
  <si>
    <t xml:space="preserve">Tích hợp thanh toán cửa hàng.</t>
  </si>
  <si>
    <t xml:space="preserve">in_app_purchase</t>
  </si>
  <si>
    <t xml:space="preserve">N-03</t>
  </si>
  <si>
    <t xml:space="preserve">Entitlements service (backend)</t>
  </si>
  <si>
    <t xml:space="preserve">Dịch vụ quyền lợi (backend)</t>
  </si>
  <si>
    <t xml:space="preserve">Server tracks plan/entitlement state.</t>
  </si>
  <si>
    <t xml:space="preserve">Máy chủ theo dõi gói/quyền lợi.</t>
  </si>
  <si>
    <t xml:space="preserve">N-04</t>
  </si>
  <si>
    <t xml:space="preserve">Receipt validation &amp; webhooks</t>
  </si>
  <si>
    <t xml:space="preserve">Xác thực hoá đơn &amp; webhook</t>
  </si>
  <si>
    <t xml:space="preserve">Server-side receipt verification, renewals.</t>
  </si>
  <si>
    <t xml:space="preserve">Xác thực hoá đơn phía máy chủ, gia hạn.</t>
  </si>
  <si>
    <t xml:space="preserve">N-05</t>
  </si>
  <si>
    <t xml:space="preserve">Paywall &amp; restore purchases</t>
  </si>
  <si>
    <t xml:space="preserve">Trang trả phí &amp; khôi phục mua</t>
  </si>
  <si>
    <t xml:space="preserve">Paywall screens + restore flow.</t>
  </si>
  <si>
    <t xml:space="preserve">Màn trả phí + khôi phục giao dịch.</t>
  </si>
  <si>
    <t xml:space="preserve">N-06</t>
  </si>
  <si>
    <t xml:space="preserve">Free daily limits / metering</t>
  </si>
  <si>
    <t xml:space="preserve">Giới hạn miễn phí hằng ngày</t>
  </si>
  <si>
    <t xml:space="preserve">Usage metering &amp; free-tier caps.</t>
  </si>
  <si>
    <t xml:space="preserve">Đo lường sử dụng &amp; giới hạn gói miễn phí.</t>
  </si>
  <si>
    <t xml:space="preserve">N-07</t>
  </si>
  <si>
    <t xml:space="preserve">Coin store / top-up</t>
  </si>
  <si>
    <t xml:space="preserve">Cửa hàng xu / nạp</t>
  </si>
  <si>
    <t xml:space="preserve">Optional coin purchases.</t>
  </si>
  <si>
    <t xml:space="preserve">Mua xu tuỳ chọn.</t>
  </si>
  <si>
    <t xml:space="preserve">O-01</t>
  </si>
  <si>
    <t xml:space="preserve">Social, Sharing &amp; Referrals</t>
  </si>
  <si>
    <t xml:space="preserve">Xã hội, Chia sẻ &amp; Giới thiệu</t>
  </si>
  <si>
    <t xml:space="preserve">Share progress / cards</t>
  </si>
  <si>
    <t xml:space="preserve">Chia sẻ tiến độ / thẻ</t>
  </si>
  <si>
    <t xml:space="preserve">Share streak/achievement cards.</t>
  </si>
  <si>
    <t xml:space="preserve">Chia sẻ thẻ chuỗi/thành tựu.</t>
  </si>
  <si>
    <t xml:space="preserve">share_plus</t>
  </si>
  <si>
    <t xml:space="preserve">O-02</t>
  </si>
  <si>
    <t xml:space="preserve">Invite friends / referral codes</t>
  </si>
  <si>
    <t xml:space="preserve">Mời bạn / mã giới thiệu</t>
  </si>
  <si>
    <t xml:space="preserve">Referral links with rewards.</t>
  </si>
  <si>
    <t xml:space="preserve">Liên kết giới thiệu kèm thưởng.</t>
  </si>
  <si>
    <t xml:space="preserve">Deep links</t>
  </si>
  <si>
    <t xml:space="preserve">O-03</t>
  </si>
  <si>
    <t xml:space="preserve">Leaderboards</t>
  </si>
  <si>
    <t xml:space="preserve">Bảng xếp hạng</t>
  </si>
  <si>
    <t xml:space="preserve">Friends / global XP leaderboards.</t>
  </si>
  <si>
    <t xml:space="preserve">Bảng xếp hạng XP bạn bè / toàn cầu.</t>
  </si>
  <si>
    <t xml:space="preserve">O-04</t>
  </si>
  <si>
    <t xml:space="preserve">Friends / follow (optional)</t>
  </si>
  <si>
    <t xml:space="preserve">Bạn bè / theo dõi (tuỳ chọn)</t>
  </si>
  <si>
    <t xml:space="preserve">Add friends, see activity.</t>
  </si>
  <si>
    <t xml:space="preserve">Thêm bạn, xem hoạt động.</t>
  </si>
  <si>
    <t xml:space="preserve">P-01</t>
  </si>
  <si>
    <t xml:space="preserve">Backend &amp; Platform (Zeabur)</t>
  </si>
  <si>
    <t xml:space="preserve">Backend &amp; Nền tảng (Zeabur)</t>
  </si>
  <si>
    <t xml:space="preserve">REST/JSON API</t>
  </si>
  <si>
    <t xml:space="preserve">API REST/JSON</t>
  </si>
  <si>
    <t xml:space="preserve">Auth, profile, content, progress, media endpoints.</t>
  </si>
  <si>
    <t xml:space="preserve">Điểm cuối xác thực, hồ sơ, nội dung, tiến độ, media.</t>
  </si>
  <si>
    <t xml:space="preserve">P-02</t>
  </si>
  <si>
    <t xml:space="preserve">User &amp; progress database</t>
  </si>
  <si>
    <t xml:space="preserve">CSDL người dùng &amp; tiến độ</t>
  </si>
  <si>
    <t xml:space="preserve">Postgres schema for users, progress, SRS, entitlements.</t>
  </si>
  <si>
    <t xml:space="preserve">Lược đồ Postgres cho người dùng, tiến độ, SRS, quyền lợi.</t>
  </si>
  <si>
    <t xml:space="preserve">P-03</t>
  </si>
  <si>
    <t xml:space="preserve">Content delivery &amp; versioning</t>
  </si>
  <si>
    <t xml:space="preserve">Phân phối &amp; phiên bản nội dung</t>
  </si>
  <si>
    <t xml:space="preserve">Serve curriculum + version/migrate.</t>
  </si>
  <si>
    <t xml:space="preserve">Cung cấp giáo trình + phiên bản/di trú.</t>
  </si>
  <si>
    <t xml:space="preserve">Replaces CURRICULUM_VERSION seed</t>
  </si>
  <si>
    <t xml:space="preserve">P-04</t>
  </si>
  <si>
    <t xml:space="preserve">Progress sync service</t>
  </si>
  <si>
    <t xml:space="preserve">Dịch vụ đồng bộ tiến độ</t>
  </si>
  <si>
    <t xml:space="preserve">Conflict-aware sync of local↔server.</t>
  </si>
  <si>
    <t xml:space="preserve">Đồng bộ cục bộ↔máy chủ có xử lý xung đột.</t>
  </si>
  <si>
    <t xml:space="preserve">P-05</t>
  </si>
  <si>
    <t xml:space="preserve">TTS generation + R2 upload</t>
  </si>
  <si>
    <t xml:space="preserve">Tạo TTS + tải lên R2</t>
  </si>
  <si>
    <t xml:space="preserve">Generate audio (Azure/Google), cache to R2.</t>
  </si>
  <si>
    <t xml:space="preserve">Tạo âm thanh (Azure/Google), cache lên R2.</t>
  </si>
  <si>
    <t xml:space="preserve">P-06</t>
  </si>
  <si>
    <t xml:space="preserve">Pronunciation scoring service</t>
  </si>
  <si>
    <t xml:space="preserve">Dịch vụ chấm phát âm</t>
  </si>
  <si>
    <t xml:space="preserve">Receive audio, return score.</t>
  </si>
  <si>
    <t xml:space="preserve">Nhận âm thanh, trả điểm.</t>
  </si>
  <si>
    <t xml:space="preserve">P-07</t>
  </si>
  <si>
    <t xml:space="preserve">Translate proxy</t>
  </si>
  <si>
    <t xml:space="preserve">Cổng dịch thuật</t>
  </si>
  <si>
    <t xml:space="preserve">Translation endpoint.</t>
  </si>
  <si>
    <t xml:space="preserve">Điểm cuối dịch thuật.</t>
  </si>
  <si>
    <t xml:space="preserve">P-08</t>
  </si>
  <si>
    <t xml:space="preserve">Dictionary service / DB packs</t>
  </si>
  <si>
    <t xml:space="preserve">Dịch vụ từ điển / gói CSDL</t>
  </si>
  <si>
    <t xml:space="preserve">Host versioned dictionary packs on R2.</t>
  </si>
  <si>
    <t xml:space="preserve">Lưu gói từ điển theo phiên bản trên R2.</t>
  </si>
  <si>
    <t xml:space="preserve">P-09</t>
  </si>
  <si>
    <t xml:space="preserve">Admin CMS (web)</t>
  </si>
  <si>
    <t xml:space="preserve">CMS quản trị (web)</t>
  </si>
  <si>
    <t xml:space="preserve">Web content authoring feeding the API.</t>
  </si>
  <si>
    <t xml:space="preserve">Soạn nội dung web cung cấp cho API.</t>
  </si>
  <si>
    <t xml:space="preserve">Admin</t>
  </si>
  <si>
    <t xml:space="preserve">Stays web; out of mobile</t>
  </si>
  <si>
    <t xml:space="preserve">P-10</t>
  </si>
  <si>
    <t xml:space="preserve">Analytics &amp; events</t>
  </si>
  <si>
    <t xml:space="preserve">Phân tích &amp; sự kiện</t>
  </si>
  <si>
    <t xml:space="preserve">Event tracking + dashboards.</t>
  </si>
  <si>
    <t xml:space="preserve">Theo dõi sự kiện + bảng điều khiển.</t>
  </si>
  <si>
    <t xml:space="preserve">e.g. Firebase/Amplitude</t>
  </si>
  <si>
    <t xml:space="preserve">P-11</t>
  </si>
  <si>
    <t xml:space="preserve">Crash &amp; performance monitoring</t>
  </si>
  <si>
    <t xml:space="preserve">Giám sát sự cố &amp; hiệu năng</t>
  </si>
  <si>
    <t xml:space="preserve">Crash reporting + observability.</t>
  </si>
  <si>
    <t xml:space="preserve">Báo cáo sự cố + quan trắc.</t>
  </si>
  <si>
    <t xml:space="preserve">Sentry/Crashlytics</t>
  </si>
  <si>
    <t xml:space="preserve">P-12</t>
  </si>
  <si>
    <t xml:space="preserve">CI/CD &amp; Zeabur deployment</t>
  </si>
  <si>
    <t xml:space="preserve">CI/CD &amp; triển khai Zeabur</t>
  </si>
  <si>
    <t xml:space="preserve">Pipelines, envs, secrets on Zeabur.</t>
  </si>
  <si>
    <t xml:space="preserve">Pipeline, môi trường, secret trên Zeabur.</t>
  </si>
  <si>
    <t xml:space="preserve">P-13</t>
  </si>
  <si>
    <t xml:space="preserve">Security &amp; rate limiting</t>
  </si>
  <si>
    <t xml:space="preserve">Bảo mật &amp; giới hạn tần suất</t>
  </si>
  <si>
    <t xml:space="preserve">Authz, rate limits, abuse protection.</t>
  </si>
  <si>
    <t xml:space="preserve">Phân quyền, giới hạn tần suất, chống lạm dụng.</t>
  </si>
  <si>
    <t xml:space="preserve">Q-01</t>
  </si>
  <si>
    <t xml:space="preserve">Quality, Compliance &amp; Release</t>
  </si>
  <si>
    <t xml:space="preserve">Chất lượng, Tuân thủ &amp; Phát hành</t>
  </si>
  <si>
    <t xml:space="preserve">App Store / Play submission</t>
  </si>
  <si>
    <t xml:space="preserve">Nộp App Store / Play</t>
  </si>
  <si>
    <t xml:space="preserve">Store listings, review, release.</t>
  </si>
  <si>
    <t xml:space="preserve">Niêm yết, xét duyệt, phát hành cửa hàng.</t>
  </si>
  <si>
    <t xml:space="preserve">Q-02</t>
  </si>
  <si>
    <t xml:space="preserve">Privacy policy &amp; terms (in-app)</t>
  </si>
  <si>
    <t xml:space="preserve">Chính sách &amp; điều khoản (trong app)</t>
  </si>
  <si>
    <t xml:space="preserve">In-app legal pages.</t>
  </si>
  <si>
    <t xml:space="preserve">Trang pháp lý trong ứng dụng.</t>
  </si>
  <si>
    <t xml:space="preserve">Q-03</t>
  </si>
  <si>
    <t xml:space="preserve">Data deletion &amp; privacy compliance</t>
  </si>
  <si>
    <t xml:space="preserve">Xoá dữ liệu &amp; tuân thủ bảo mật</t>
  </si>
  <si>
    <t xml:space="preserve">GDPR-style deletion, consent, data export.</t>
  </si>
  <si>
    <t xml:space="preserve">Xoá kiểu GDPR, đồng ý, xuất dữ liệu.</t>
  </si>
  <si>
    <t xml:space="preserve">Q-04</t>
  </si>
  <si>
    <t xml:space="preserve">Accessibility compliance</t>
  </si>
  <si>
    <t xml:space="preserve">Tuân thủ trợ năng</t>
  </si>
  <si>
    <t xml:space="preserve">WCAG-aligned checks before release.</t>
  </si>
  <si>
    <t xml:space="preserve">Kiểm tra theo WCAG trước phát hành.</t>
  </si>
  <si>
    <t xml:space="preserve">Q-05</t>
  </si>
  <si>
    <t xml:space="preserve">Automated testing</t>
  </si>
  <si>
    <t xml:space="preserve">Kiểm thử tự động</t>
  </si>
  <si>
    <t xml:space="preserve">Unit + widget + integration tests.</t>
  </si>
  <si>
    <t xml:space="preserve">Kiểm thử đơn vị + widget + tích hợp.</t>
  </si>
  <si>
    <t xml:space="preserve">TOTAL</t>
  </si>
  <si>
    <t xml:space="preserve">Summary / Tổng hợp</t>
  </si>
  <si>
    <t xml:space="preserve">Count</t>
  </si>
  <si>
    <t xml:space="preserve">Backend</t>
  </si>
  <si>
    <t xml:space="preserve">Assumptions &amp; Stack / Giả định &amp; Công nghệ</t>
  </si>
  <si>
    <t xml:space="preserve">Topic</t>
  </si>
  <si>
    <t xml:space="preserve">Decision / Quyết định</t>
  </si>
  <si>
    <t xml:space="preserve">Accounts</t>
  </si>
  <si>
    <t xml:space="preserve">Server-backed accounts REQUIRED. Zeabur backend replaces Supabase as source of truth (auth + user DB + content/sync API). / Tài khoản phía máy chủ BẮT BUỘC; backend Zeabur thay Supabase.</t>
  </si>
  <si>
    <t xml:space="preserve">Offline</t>
  </si>
  <si>
    <t xml:space="preserve">Hybrid: core lessons work offline (bundled/cached curriculum + audio). On-device SQLite dictionary is offline-capable. Dictionary delta updates, media, translate &amp; scoring need a connection. / Lai: bài học cốt lõi ngoại tuyến; từ điển SQLite trên thiết bị; media/dịch/chấm điểm cần mạng.</t>
  </si>
  <si>
    <t xml:space="preserve">Heavy content</t>
  </si>
  <si>
    <t xml:space="preserve">~100MB dictionary ships/downloads as on-device SQLite. Cloudflare R2 (via CDN) serves audio (tts-cache), images, and video backdrops; cached on device. / Từ điển ~100MB là SQLite trên thiết bị; R2 phục vụ âm thanh, ảnh, video.</t>
  </si>
  <si>
    <t xml:space="preserve">Added scope</t>
  </si>
  <si>
    <t xml:space="preserve">Push (FCM/APNs), Monetization (subscriptions + IAP), Social/Sharing/Referrals/Leaderboards, and a NEW UI/UX redesign (not a 1:1 visual port). / Bổ sung: đẩy, kiếm tiền, xã hội, và thiết kế lại UI/UX.</t>
  </si>
  <si>
    <t xml:space="preserve">Frontend</t>
  </si>
  <si>
    <t xml:space="preserve">Flutter (iOS + Android). Suggested: Riverpod/Bloc state, go_router, dio, drift (SQLite), just_audio, flutter_tts, record, firebase_messaging, in_app_purchase, easy_localization. / Flutter cho iOS+Android.</t>
  </si>
  <si>
    <t xml:space="preserve">Own API on Zeabur (e.g. Node/Express or equivalent) + Postgres. Reuses existing TTS, pronunciation, translate logic. / API riêng trên Zeabur + Postgres.</t>
  </si>
  <si>
    <t xml:space="preserve">Object storage</t>
  </si>
  <si>
    <t xml:space="preserve">Cloudflare R2 buckets: tts-cache, images, video; signed URLs for protected media. / R2: tts-cache, ảnh, video; URL ký.</t>
  </si>
  <si>
    <t xml:space="preserve">Out of scope (mobile)</t>
  </si>
  <si>
    <t xml:space="preserve">Admin CMS stays a web app (authoring feeds the backend). / CMS quản trị vẫn là web.</t>
  </si>
  <si>
    <t xml:space="preserve">Estimates</t>
  </si>
  <si>
    <t xml:space="preserve">Est. Hours are rough engineering estimates for scoping, NOT a fixed quote. Validate with the dev team. / Giờ ước tính chỉ để định phạm vi, không phải báo giá.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</si>
</sst>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name val="DejaVu Sans"/>
      <family val="2"/>
    </font>
    <font>
      <b val="true"/>
      <sz val="12"/>
      <color rgb="FF1F4E78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22"/>
    <col collapsed="false" customWidth="true" hidden="false" outlineLevel="0" max="5" min="4" style="0" width="30"/>
    <col collapsed="false" customWidth="true" hidden="false" outlineLevel="0" max="7" min="6" style="0" width="40"/>
    <col collapsed="false" customWidth="true" hidden="false" outlineLevel="0" max="9" min="8" style="0" width="11"/>
    <col collapsed="false" customWidth="true" hidden="false" outlineLevel="0" max="10" min="10" style="0" width="7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22.35" hidden="false" customHeight="false" outlineLevel="0" collapsed="false">
      <c r="A5" s="4" t="s">
        <v>16</v>
      </c>
      <c r="B5" s="5" t="s">
        <v>17</v>
      </c>
      <c r="C5" s="5" t="s">
        <v>18</v>
      </c>
      <c r="D5" s="6" t="s">
        <v>19</v>
      </c>
      <c r="E5" s="6" t="s">
        <v>20</v>
      </c>
      <c r="F5" s="6" t="s">
        <v>21</v>
      </c>
      <c r="G5" s="6" t="s">
        <v>22</v>
      </c>
      <c r="H5" s="7" t="s">
        <v>23</v>
      </c>
      <c r="I5" s="7" t="s">
        <v>24</v>
      </c>
      <c r="J5" s="7" t="s">
        <v>25</v>
      </c>
      <c r="K5" s="7" t="s">
        <v>26</v>
      </c>
      <c r="L5" s="7" t="s">
        <v>27</v>
      </c>
      <c r="M5" s="7" t="n">
        <v>40</v>
      </c>
      <c r="N5" s="6" t="s">
        <v>28</v>
      </c>
    </row>
    <row r="6" customFormat="false" ht="22.35" hidden="false" customHeight="false" outlineLevel="0" collapsed="false">
      <c r="A6" s="4" t="s">
        <v>29</v>
      </c>
      <c r="B6" s="5" t="s">
        <v>17</v>
      </c>
      <c r="C6" s="5" t="s">
        <v>18</v>
      </c>
      <c r="D6" s="6" t="s">
        <v>30</v>
      </c>
      <c r="E6" s="6" t="s">
        <v>31</v>
      </c>
      <c r="F6" s="6" t="s">
        <v>32</v>
      </c>
      <c r="G6" s="6" t="s">
        <v>33</v>
      </c>
      <c r="H6" s="7" t="s">
        <v>23</v>
      </c>
      <c r="I6" s="7" t="s">
        <v>24</v>
      </c>
      <c r="J6" s="7" t="s">
        <v>25</v>
      </c>
      <c r="K6" s="7" t="s">
        <v>26</v>
      </c>
      <c r="L6" s="7" t="s">
        <v>27</v>
      </c>
      <c r="M6" s="7" t="n">
        <v>60</v>
      </c>
      <c r="N6" s="6" t="s">
        <v>34</v>
      </c>
    </row>
    <row r="7" customFormat="false" ht="22.35" hidden="false" customHeight="false" outlineLevel="0" collapsed="false">
      <c r="A7" s="4" t="s">
        <v>35</v>
      </c>
      <c r="B7" s="5" t="s">
        <v>17</v>
      </c>
      <c r="C7" s="5" t="s">
        <v>18</v>
      </c>
      <c r="D7" s="6" t="s">
        <v>36</v>
      </c>
      <c r="E7" s="6" t="s">
        <v>37</v>
      </c>
      <c r="F7" s="6" t="s">
        <v>38</v>
      </c>
      <c r="G7" s="6" t="s">
        <v>39</v>
      </c>
      <c r="H7" s="7" t="s">
        <v>23</v>
      </c>
      <c r="I7" s="7" t="s">
        <v>40</v>
      </c>
      <c r="J7" s="7" t="s">
        <v>25</v>
      </c>
      <c r="K7" s="7" t="s">
        <v>26</v>
      </c>
      <c r="L7" s="7" t="s">
        <v>27</v>
      </c>
      <c r="M7" s="7" t="n">
        <v>24</v>
      </c>
      <c r="N7" s="6"/>
    </row>
    <row r="8" customFormat="false" ht="22.35" hidden="false" customHeight="false" outlineLevel="0" collapsed="false">
      <c r="A8" s="4" t="s">
        <v>41</v>
      </c>
      <c r="B8" s="5" t="s">
        <v>17</v>
      </c>
      <c r="C8" s="5" t="s">
        <v>18</v>
      </c>
      <c r="D8" s="6" t="s">
        <v>42</v>
      </c>
      <c r="E8" s="6" t="s">
        <v>43</v>
      </c>
      <c r="F8" s="6" t="s">
        <v>44</v>
      </c>
      <c r="G8" s="6" t="s">
        <v>45</v>
      </c>
      <c r="H8" s="7" t="s">
        <v>23</v>
      </c>
      <c r="I8" s="7" t="s">
        <v>40</v>
      </c>
      <c r="J8" s="7" t="s">
        <v>25</v>
      </c>
      <c r="K8" s="7" t="s">
        <v>26</v>
      </c>
      <c r="L8" s="7" t="s">
        <v>27</v>
      </c>
      <c r="M8" s="7" t="n">
        <v>40</v>
      </c>
      <c r="N8" s="6"/>
    </row>
    <row r="9" customFormat="false" ht="22.35" hidden="false" customHeight="false" outlineLevel="0" collapsed="false">
      <c r="A9" s="4" t="s">
        <v>46</v>
      </c>
      <c r="B9" s="5" t="s">
        <v>17</v>
      </c>
      <c r="C9" s="5" t="s">
        <v>18</v>
      </c>
      <c r="D9" s="6" t="s">
        <v>47</v>
      </c>
      <c r="E9" s="6" t="s">
        <v>48</v>
      </c>
      <c r="F9" s="6" t="s">
        <v>49</v>
      </c>
      <c r="G9" s="6" t="s">
        <v>50</v>
      </c>
      <c r="H9" s="7" t="s">
        <v>23</v>
      </c>
      <c r="I9" s="7" t="s">
        <v>40</v>
      </c>
      <c r="J9" s="7" t="s">
        <v>25</v>
      </c>
      <c r="K9" s="7" t="s">
        <v>26</v>
      </c>
      <c r="L9" s="7" t="s">
        <v>27</v>
      </c>
      <c r="M9" s="7" t="n">
        <v>40</v>
      </c>
      <c r="N9" s="6"/>
    </row>
    <row r="10" customFormat="false" ht="22.35" hidden="false" customHeight="false" outlineLevel="0" collapsed="false">
      <c r="A10" s="4" t="s">
        <v>51</v>
      </c>
      <c r="B10" s="5" t="s">
        <v>17</v>
      </c>
      <c r="C10" s="5" t="s">
        <v>18</v>
      </c>
      <c r="D10" s="6" t="s">
        <v>52</v>
      </c>
      <c r="E10" s="6" t="s">
        <v>53</v>
      </c>
      <c r="F10" s="6" t="s">
        <v>54</v>
      </c>
      <c r="G10" s="6" t="s">
        <v>55</v>
      </c>
      <c r="H10" s="7" t="s">
        <v>23</v>
      </c>
      <c r="I10" s="7" t="s">
        <v>40</v>
      </c>
      <c r="J10" s="7" t="s">
        <v>25</v>
      </c>
      <c r="K10" s="7" t="s">
        <v>26</v>
      </c>
      <c r="L10" s="7" t="s">
        <v>25</v>
      </c>
      <c r="M10" s="7" t="n">
        <v>28</v>
      </c>
      <c r="N10" s="6"/>
    </row>
    <row r="11" customFormat="false" ht="22.35" hidden="false" customHeight="false" outlineLevel="0" collapsed="false">
      <c r="A11" s="4" t="s">
        <v>56</v>
      </c>
      <c r="B11" s="5" t="s">
        <v>17</v>
      </c>
      <c r="C11" s="5" t="s">
        <v>18</v>
      </c>
      <c r="D11" s="6" t="s">
        <v>57</v>
      </c>
      <c r="E11" s="6" t="s">
        <v>58</v>
      </c>
      <c r="F11" s="6" t="s">
        <v>59</v>
      </c>
      <c r="G11" s="6" t="s">
        <v>60</v>
      </c>
      <c r="H11" s="7" t="s">
        <v>23</v>
      </c>
      <c r="I11" s="7" t="s">
        <v>24</v>
      </c>
      <c r="J11" s="7" t="s">
        <v>25</v>
      </c>
      <c r="K11" s="7" t="s">
        <v>26</v>
      </c>
      <c r="L11" s="7" t="s">
        <v>25</v>
      </c>
      <c r="M11" s="7" t="n">
        <v>16</v>
      </c>
      <c r="N11" s="6"/>
    </row>
    <row r="12" customFormat="false" ht="22.35" hidden="false" customHeight="false" outlineLevel="0" collapsed="false">
      <c r="A12" s="4" t="s">
        <v>61</v>
      </c>
      <c r="B12" s="5" t="s">
        <v>17</v>
      </c>
      <c r="C12" s="5" t="s">
        <v>18</v>
      </c>
      <c r="D12" s="6" t="s">
        <v>62</v>
      </c>
      <c r="E12" s="6" t="s">
        <v>63</v>
      </c>
      <c r="F12" s="6" t="s">
        <v>64</v>
      </c>
      <c r="G12" s="6" t="s">
        <v>65</v>
      </c>
      <c r="H12" s="7" t="s">
        <v>23</v>
      </c>
      <c r="I12" s="7" t="s">
        <v>24</v>
      </c>
      <c r="J12" s="7" t="s">
        <v>66</v>
      </c>
      <c r="K12" s="7" t="s">
        <v>67</v>
      </c>
      <c r="L12" s="7" t="s">
        <v>66</v>
      </c>
      <c r="M12" s="7" t="n">
        <v>24</v>
      </c>
      <c r="N12" s="6"/>
    </row>
    <row r="13" customFormat="false" ht="22.35" hidden="false" customHeight="false" outlineLevel="0" collapsed="false">
      <c r="A13" s="4" t="s">
        <v>68</v>
      </c>
      <c r="B13" s="5" t="s">
        <v>17</v>
      </c>
      <c r="C13" s="5" t="s">
        <v>18</v>
      </c>
      <c r="D13" s="6" t="s">
        <v>69</v>
      </c>
      <c r="E13" s="6" t="s">
        <v>70</v>
      </c>
      <c r="F13" s="6" t="s">
        <v>71</v>
      </c>
      <c r="G13" s="6" t="s">
        <v>72</v>
      </c>
      <c r="H13" s="7" t="s">
        <v>23</v>
      </c>
      <c r="I13" s="7" t="s">
        <v>24</v>
      </c>
      <c r="J13" s="7" t="s">
        <v>66</v>
      </c>
      <c r="K13" s="7" t="s">
        <v>67</v>
      </c>
      <c r="L13" s="7" t="s">
        <v>25</v>
      </c>
      <c r="M13" s="7" t="n">
        <v>32</v>
      </c>
      <c r="N13" s="6"/>
    </row>
    <row r="14" customFormat="false" ht="22.35" hidden="false" customHeight="false" outlineLevel="0" collapsed="false">
      <c r="A14" s="4" t="s">
        <v>73</v>
      </c>
      <c r="B14" s="5" t="s">
        <v>17</v>
      </c>
      <c r="C14" s="5" t="s">
        <v>18</v>
      </c>
      <c r="D14" s="6" t="s">
        <v>74</v>
      </c>
      <c r="E14" s="6" t="s">
        <v>75</v>
      </c>
      <c r="F14" s="6" t="s">
        <v>76</v>
      </c>
      <c r="G14" s="6" t="s">
        <v>77</v>
      </c>
      <c r="H14" s="7" t="s">
        <v>23</v>
      </c>
      <c r="I14" s="7" t="s">
        <v>24</v>
      </c>
      <c r="J14" s="7" t="s">
        <v>25</v>
      </c>
      <c r="K14" s="7" t="s">
        <v>26</v>
      </c>
      <c r="L14" s="7" t="s">
        <v>25</v>
      </c>
      <c r="M14" s="7" t="n">
        <v>16</v>
      </c>
      <c r="N14" s="6"/>
    </row>
    <row r="15" customFormat="false" ht="15" hidden="false" customHeight="false" outlineLevel="0" collapsed="false">
      <c r="A15" s="4" t="s">
        <v>78</v>
      </c>
      <c r="B15" s="5" t="s">
        <v>79</v>
      </c>
      <c r="C15" s="5" t="s">
        <v>80</v>
      </c>
      <c r="D15" s="6" t="s">
        <v>81</v>
      </c>
      <c r="E15" s="6" t="s">
        <v>82</v>
      </c>
      <c r="F15" s="6" t="s">
        <v>83</v>
      </c>
      <c r="G15" s="6" t="s">
        <v>84</v>
      </c>
      <c r="H15" s="7" t="s">
        <v>85</v>
      </c>
      <c r="I15" s="7" t="s">
        <v>24</v>
      </c>
      <c r="J15" s="7" t="s">
        <v>25</v>
      </c>
      <c r="K15" s="7" t="s">
        <v>26</v>
      </c>
      <c r="L15" s="7" t="s">
        <v>27</v>
      </c>
      <c r="M15" s="7" t="n">
        <v>40</v>
      </c>
      <c r="N15" s="6" t="s">
        <v>86</v>
      </c>
    </row>
    <row r="16" customFormat="false" ht="15" hidden="false" customHeight="false" outlineLevel="0" collapsed="false">
      <c r="A16" s="4" t="s">
        <v>87</v>
      </c>
      <c r="B16" s="5" t="s">
        <v>79</v>
      </c>
      <c r="C16" s="5" t="s">
        <v>80</v>
      </c>
      <c r="D16" s="6" t="s">
        <v>88</v>
      </c>
      <c r="E16" s="6" t="s">
        <v>89</v>
      </c>
      <c r="F16" s="6" t="s">
        <v>90</v>
      </c>
      <c r="G16" s="6" t="s">
        <v>91</v>
      </c>
      <c r="H16" s="7" t="s">
        <v>85</v>
      </c>
      <c r="I16" s="7" t="s">
        <v>24</v>
      </c>
      <c r="J16" s="7" t="s">
        <v>25</v>
      </c>
      <c r="K16" s="7" t="s">
        <v>26</v>
      </c>
      <c r="L16" s="7" t="s">
        <v>27</v>
      </c>
      <c r="M16" s="7" t="n">
        <v>32</v>
      </c>
      <c r="N16" s="6" t="s">
        <v>92</v>
      </c>
    </row>
    <row r="17" customFormat="false" ht="22.35" hidden="false" customHeight="false" outlineLevel="0" collapsed="false">
      <c r="A17" s="4" t="s">
        <v>93</v>
      </c>
      <c r="B17" s="5" t="s">
        <v>79</v>
      </c>
      <c r="C17" s="5" t="s">
        <v>80</v>
      </c>
      <c r="D17" s="6" t="s">
        <v>94</v>
      </c>
      <c r="E17" s="6" t="s">
        <v>95</v>
      </c>
      <c r="F17" s="6" t="s">
        <v>96</v>
      </c>
      <c r="G17" s="6" t="s">
        <v>97</v>
      </c>
      <c r="H17" s="7" t="s">
        <v>85</v>
      </c>
      <c r="I17" s="7" t="s">
        <v>24</v>
      </c>
      <c r="J17" s="7" t="s">
        <v>25</v>
      </c>
      <c r="K17" s="7" t="s">
        <v>26</v>
      </c>
      <c r="L17" s="7" t="s">
        <v>25</v>
      </c>
      <c r="M17" s="7" t="n">
        <v>24</v>
      </c>
      <c r="N17" s="6" t="s">
        <v>98</v>
      </c>
    </row>
    <row r="18" customFormat="false" ht="15" hidden="false" customHeight="false" outlineLevel="0" collapsed="false">
      <c r="A18" s="4" t="s">
        <v>99</v>
      </c>
      <c r="B18" s="5" t="s">
        <v>79</v>
      </c>
      <c r="C18" s="5" t="s">
        <v>80</v>
      </c>
      <c r="D18" s="6" t="s">
        <v>100</v>
      </c>
      <c r="E18" s="6" t="s">
        <v>101</v>
      </c>
      <c r="F18" s="6" t="s">
        <v>102</v>
      </c>
      <c r="G18" s="6" t="s">
        <v>103</v>
      </c>
      <c r="H18" s="7" t="s">
        <v>85</v>
      </c>
      <c r="I18" s="7" t="s">
        <v>24</v>
      </c>
      <c r="J18" s="7" t="s">
        <v>25</v>
      </c>
      <c r="K18" s="7" t="s">
        <v>26</v>
      </c>
      <c r="L18" s="7" t="s">
        <v>27</v>
      </c>
      <c r="M18" s="7" t="n">
        <v>20</v>
      </c>
      <c r="N18" s="6" t="s">
        <v>104</v>
      </c>
    </row>
    <row r="19" customFormat="false" ht="22.35" hidden="false" customHeight="false" outlineLevel="0" collapsed="false">
      <c r="A19" s="4" t="s">
        <v>105</v>
      </c>
      <c r="B19" s="5" t="s">
        <v>79</v>
      </c>
      <c r="C19" s="5" t="s">
        <v>80</v>
      </c>
      <c r="D19" s="6" t="s">
        <v>106</v>
      </c>
      <c r="E19" s="6" t="s">
        <v>107</v>
      </c>
      <c r="F19" s="6" t="s">
        <v>108</v>
      </c>
      <c r="G19" s="6" t="s">
        <v>109</v>
      </c>
      <c r="H19" s="7" t="s">
        <v>85</v>
      </c>
      <c r="I19" s="7" t="s">
        <v>110</v>
      </c>
      <c r="J19" s="7" t="s">
        <v>25</v>
      </c>
      <c r="K19" s="7" t="s">
        <v>26</v>
      </c>
      <c r="L19" s="7" t="s">
        <v>25</v>
      </c>
      <c r="M19" s="7" t="n">
        <v>20</v>
      </c>
      <c r="N19" s="6"/>
    </row>
    <row r="20" customFormat="false" ht="15" hidden="false" customHeight="false" outlineLevel="0" collapsed="false">
      <c r="A20" s="4" t="s">
        <v>111</v>
      </c>
      <c r="B20" s="5" t="s">
        <v>79</v>
      </c>
      <c r="C20" s="5" t="s">
        <v>80</v>
      </c>
      <c r="D20" s="6" t="s">
        <v>112</v>
      </c>
      <c r="E20" s="6" t="s">
        <v>113</v>
      </c>
      <c r="F20" s="6" t="s">
        <v>114</v>
      </c>
      <c r="G20" s="6" t="s">
        <v>115</v>
      </c>
      <c r="H20" s="7" t="s">
        <v>85</v>
      </c>
      <c r="I20" s="7" t="s">
        <v>24</v>
      </c>
      <c r="J20" s="7" t="s">
        <v>25</v>
      </c>
      <c r="K20" s="7" t="s">
        <v>26</v>
      </c>
      <c r="L20" s="7" t="s">
        <v>25</v>
      </c>
      <c r="M20" s="7" t="n">
        <v>16</v>
      </c>
      <c r="N20" s="6"/>
    </row>
    <row r="21" customFormat="false" ht="15" hidden="false" customHeight="false" outlineLevel="0" collapsed="false">
      <c r="A21" s="4" t="s">
        <v>116</v>
      </c>
      <c r="B21" s="5" t="s">
        <v>79</v>
      </c>
      <c r="C21" s="5" t="s">
        <v>80</v>
      </c>
      <c r="D21" s="6" t="s">
        <v>117</v>
      </c>
      <c r="E21" s="6" t="s">
        <v>118</v>
      </c>
      <c r="F21" s="6" t="s">
        <v>119</v>
      </c>
      <c r="G21" s="6" t="s">
        <v>120</v>
      </c>
      <c r="H21" s="7" t="s">
        <v>85</v>
      </c>
      <c r="I21" s="7" t="s">
        <v>24</v>
      </c>
      <c r="J21" s="7" t="s">
        <v>25</v>
      </c>
      <c r="K21" s="7" t="s">
        <v>26</v>
      </c>
      <c r="L21" s="7" t="s">
        <v>27</v>
      </c>
      <c r="M21" s="7" t="n">
        <v>16</v>
      </c>
      <c r="N21" s="6" t="s">
        <v>121</v>
      </c>
    </row>
    <row r="22" customFormat="false" ht="15" hidden="false" customHeight="false" outlineLevel="0" collapsed="false">
      <c r="A22" s="4" t="s">
        <v>122</v>
      </c>
      <c r="B22" s="5" t="s">
        <v>79</v>
      </c>
      <c r="C22" s="5" t="s">
        <v>80</v>
      </c>
      <c r="D22" s="6" t="s">
        <v>123</v>
      </c>
      <c r="E22" s="6" t="s">
        <v>124</v>
      </c>
      <c r="F22" s="6" t="s">
        <v>125</v>
      </c>
      <c r="G22" s="6" t="s">
        <v>126</v>
      </c>
      <c r="H22" s="7" t="s">
        <v>85</v>
      </c>
      <c r="I22" s="7" t="s">
        <v>110</v>
      </c>
      <c r="J22" s="7" t="s">
        <v>25</v>
      </c>
      <c r="K22" s="7" t="s">
        <v>26</v>
      </c>
      <c r="L22" s="7" t="s">
        <v>25</v>
      </c>
      <c r="M22" s="7" t="n">
        <v>10</v>
      </c>
      <c r="N22" s="6"/>
    </row>
    <row r="23" customFormat="false" ht="22.35" hidden="false" customHeight="false" outlineLevel="0" collapsed="false">
      <c r="A23" s="4" t="s">
        <v>127</v>
      </c>
      <c r="B23" s="5" t="s">
        <v>79</v>
      </c>
      <c r="C23" s="5" t="s">
        <v>80</v>
      </c>
      <c r="D23" s="6" t="s">
        <v>128</v>
      </c>
      <c r="E23" s="6" t="s">
        <v>129</v>
      </c>
      <c r="F23" s="6" t="s">
        <v>130</v>
      </c>
      <c r="G23" s="6" t="s">
        <v>131</v>
      </c>
      <c r="H23" s="7" t="s">
        <v>85</v>
      </c>
      <c r="I23" s="7" t="s">
        <v>110</v>
      </c>
      <c r="J23" s="7" t="s">
        <v>25</v>
      </c>
      <c r="K23" s="7" t="s">
        <v>26</v>
      </c>
      <c r="L23" s="7" t="s">
        <v>27</v>
      </c>
      <c r="M23" s="7" t="n">
        <v>16</v>
      </c>
      <c r="N23" s="6"/>
    </row>
    <row r="24" customFormat="false" ht="22.35" hidden="false" customHeight="false" outlineLevel="0" collapsed="false">
      <c r="A24" s="4" t="s">
        <v>132</v>
      </c>
      <c r="B24" s="5" t="s">
        <v>79</v>
      </c>
      <c r="C24" s="5" t="s">
        <v>80</v>
      </c>
      <c r="D24" s="6" t="s">
        <v>133</v>
      </c>
      <c r="E24" s="6" t="s">
        <v>134</v>
      </c>
      <c r="F24" s="6" t="s">
        <v>135</v>
      </c>
      <c r="G24" s="6" t="s">
        <v>136</v>
      </c>
      <c r="H24" s="7" t="s">
        <v>85</v>
      </c>
      <c r="I24" s="7" t="s">
        <v>24</v>
      </c>
      <c r="J24" s="7" t="s">
        <v>66</v>
      </c>
      <c r="K24" s="7" t="s">
        <v>67</v>
      </c>
      <c r="L24" s="7" t="s">
        <v>66</v>
      </c>
      <c r="M24" s="7" t="n">
        <v>12</v>
      </c>
      <c r="N24" s="6"/>
    </row>
    <row r="25" customFormat="false" ht="15" hidden="false" customHeight="false" outlineLevel="0" collapsed="false">
      <c r="A25" s="4" t="s">
        <v>137</v>
      </c>
      <c r="B25" s="5" t="s">
        <v>138</v>
      </c>
      <c r="C25" s="5" t="s">
        <v>139</v>
      </c>
      <c r="D25" s="6" t="s">
        <v>140</v>
      </c>
      <c r="E25" s="6" t="s">
        <v>141</v>
      </c>
      <c r="F25" s="6" t="s">
        <v>142</v>
      </c>
      <c r="G25" s="6" t="s">
        <v>143</v>
      </c>
      <c r="H25" s="7" t="s">
        <v>85</v>
      </c>
      <c r="I25" s="7" t="s">
        <v>110</v>
      </c>
      <c r="J25" s="7" t="s">
        <v>25</v>
      </c>
      <c r="K25" s="7" t="s">
        <v>26</v>
      </c>
      <c r="L25" s="7" t="s">
        <v>27</v>
      </c>
      <c r="M25" s="7" t="n">
        <v>36</v>
      </c>
      <c r="N25" s="6"/>
    </row>
    <row r="26" customFormat="false" ht="15" hidden="false" customHeight="false" outlineLevel="0" collapsed="false">
      <c r="A26" s="4" t="s">
        <v>144</v>
      </c>
      <c r="B26" s="5" t="s">
        <v>138</v>
      </c>
      <c r="C26" s="5" t="s">
        <v>139</v>
      </c>
      <c r="D26" s="6" t="s">
        <v>145</v>
      </c>
      <c r="E26" s="6" t="s">
        <v>146</v>
      </c>
      <c r="F26" s="6" t="s">
        <v>147</v>
      </c>
      <c r="G26" s="6" t="s">
        <v>148</v>
      </c>
      <c r="H26" s="7" t="s">
        <v>85</v>
      </c>
      <c r="I26" s="7" t="s">
        <v>110</v>
      </c>
      <c r="J26" s="7" t="s">
        <v>25</v>
      </c>
      <c r="K26" s="7" t="s">
        <v>26</v>
      </c>
      <c r="L26" s="7" t="s">
        <v>27</v>
      </c>
      <c r="M26" s="7" t="n">
        <v>16</v>
      </c>
      <c r="N26" s="6"/>
    </row>
    <row r="27" customFormat="false" ht="15" hidden="false" customHeight="false" outlineLevel="0" collapsed="false">
      <c r="A27" s="4" t="s">
        <v>149</v>
      </c>
      <c r="B27" s="5" t="s">
        <v>138</v>
      </c>
      <c r="C27" s="5" t="s">
        <v>139</v>
      </c>
      <c r="D27" s="6" t="s">
        <v>150</v>
      </c>
      <c r="E27" s="6" t="s">
        <v>151</v>
      </c>
      <c r="F27" s="6" t="s">
        <v>152</v>
      </c>
      <c r="G27" s="6" t="s">
        <v>153</v>
      </c>
      <c r="H27" s="7" t="s">
        <v>85</v>
      </c>
      <c r="I27" s="7" t="s">
        <v>110</v>
      </c>
      <c r="J27" s="7" t="s">
        <v>25</v>
      </c>
      <c r="K27" s="7" t="s">
        <v>26</v>
      </c>
      <c r="L27" s="7" t="s">
        <v>27</v>
      </c>
      <c r="M27" s="7" t="n">
        <v>12</v>
      </c>
      <c r="N27" s="6"/>
    </row>
    <row r="28" customFormat="false" ht="15" hidden="false" customHeight="false" outlineLevel="0" collapsed="false">
      <c r="A28" s="4" t="s">
        <v>154</v>
      </c>
      <c r="B28" s="5" t="s">
        <v>138</v>
      </c>
      <c r="C28" s="5" t="s">
        <v>139</v>
      </c>
      <c r="D28" s="6" t="s">
        <v>155</v>
      </c>
      <c r="E28" s="6" t="s">
        <v>156</v>
      </c>
      <c r="F28" s="6" t="s">
        <v>157</v>
      </c>
      <c r="G28" s="6" t="s">
        <v>158</v>
      </c>
      <c r="H28" s="7" t="s">
        <v>85</v>
      </c>
      <c r="I28" s="7" t="s">
        <v>110</v>
      </c>
      <c r="J28" s="7" t="s">
        <v>25</v>
      </c>
      <c r="K28" s="7" t="s">
        <v>26</v>
      </c>
      <c r="L28" s="7" t="s">
        <v>25</v>
      </c>
      <c r="M28" s="7" t="n">
        <v>16</v>
      </c>
      <c r="N28" s="6"/>
    </row>
    <row r="29" customFormat="false" ht="15" hidden="false" customHeight="false" outlineLevel="0" collapsed="false">
      <c r="A29" s="4" t="s">
        <v>159</v>
      </c>
      <c r="B29" s="5" t="s">
        <v>138</v>
      </c>
      <c r="C29" s="5" t="s">
        <v>139</v>
      </c>
      <c r="D29" s="6" t="s">
        <v>160</v>
      </c>
      <c r="E29" s="6" t="s">
        <v>161</v>
      </c>
      <c r="F29" s="6" t="s">
        <v>162</v>
      </c>
      <c r="G29" s="6" t="s">
        <v>163</v>
      </c>
      <c r="H29" s="7" t="s">
        <v>85</v>
      </c>
      <c r="I29" s="7" t="s">
        <v>110</v>
      </c>
      <c r="J29" s="7" t="s">
        <v>66</v>
      </c>
      <c r="K29" s="7" t="s">
        <v>67</v>
      </c>
      <c r="L29" s="7" t="s">
        <v>66</v>
      </c>
      <c r="M29" s="7" t="n">
        <v>28</v>
      </c>
      <c r="N29" s="6"/>
    </row>
    <row r="30" customFormat="false" ht="15" hidden="false" customHeight="false" outlineLevel="0" collapsed="false">
      <c r="A30" s="4" t="s">
        <v>164</v>
      </c>
      <c r="B30" s="5" t="s">
        <v>138</v>
      </c>
      <c r="C30" s="5" t="s">
        <v>139</v>
      </c>
      <c r="D30" s="6" t="s">
        <v>165</v>
      </c>
      <c r="E30" s="6" t="s">
        <v>166</v>
      </c>
      <c r="F30" s="6" t="s">
        <v>167</v>
      </c>
      <c r="G30" s="6" t="s">
        <v>168</v>
      </c>
      <c r="H30" s="7" t="s">
        <v>85</v>
      </c>
      <c r="I30" s="7" t="s">
        <v>110</v>
      </c>
      <c r="J30" s="7" t="s">
        <v>25</v>
      </c>
      <c r="K30" s="7" t="s">
        <v>26</v>
      </c>
      <c r="L30" s="7" t="s">
        <v>25</v>
      </c>
      <c r="M30" s="7" t="n">
        <v>10</v>
      </c>
      <c r="N30" s="6"/>
    </row>
    <row r="31" customFormat="false" ht="15" hidden="false" customHeight="false" outlineLevel="0" collapsed="false">
      <c r="A31" s="4" t="s">
        <v>169</v>
      </c>
      <c r="B31" s="5" t="s">
        <v>138</v>
      </c>
      <c r="C31" s="5" t="s">
        <v>139</v>
      </c>
      <c r="D31" s="6" t="s">
        <v>170</v>
      </c>
      <c r="E31" s="6" t="s">
        <v>171</v>
      </c>
      <c r="F31" s="6" t="s">
        <v>172</v>
      </c>
      <c r="G31" s="6" t="s">
        <v>173</v>
      </c>
      <c r="H31" s="7" t="s">
        <v>85</v>
      </c>
      <c r="I31" s="7" t="s">
        <v>40</v>
      </c>
      <c r="J31" s="7" t="s">
        <v>25</v>
      </c>
      <c r="K31" s="7" t="s">
        <v>26</v>
      </c>
      <c r="L31" s="7" t="s">
        <v>25</v>
      </c>
      <c r="M31" s="7" t="n">
        <v>10</v>
      </c>
      <c r="N31" s="6"/>
    </row>
    <row r="32" customFormat="false" ht="15" hidden="false" customHeight="false" outlineLevel="0" collapsed="false">
      <c r="A32" s="4" t="s">
        <v>174</v>
      </c>
      <c r="B32" s="5" t="s">
        <v>175</v>
      </c>
      <c r="C32" s="5" t="s">
        <v>176</v>
      </c>
      <c r="D32" s="6" t="s">
        <v>177</v>
      </c>
      <c r="E32" s="6" t="s">
        <v>178</v>
      </c>
      <c r="F32" s="6" t="s">
        <v>179</v>
      </c>
      <c r="G32" s="6" t="s">
        <v>180</v>
      </c>
      <c r="H32" s="7" t="s">
        <v>85</v>
      </c>
      <c r="I32" s="7" t="s">
        <v>110</v>
      </c>
      <c r="J32" s="7" t="s">
        <v>25</v>
      </c>
      <c r="K32" s="7" t="s">
        <v>26</v>
      </c>
      <c r="L32" s="7" t="s">
        <v>27</v>
      </c>
      <c r="M32" s="7" t="n">
        <v>48</v>
      </c>
      <c r="N32" s="6"/>
    </row>
    <row r="33" customFormat="false" ht="22.35" hidden="false" customHeight="false" outlineLevel="0" collapsed="false">
      <c r="A33" s="4" t="s">
        <v>181</v>
      </c>
      <c r="B33" s="5" t="s">
        <v>175</v>
      </c>
      <c r="C33" s="5" t="s">
        <v>176</v>
      </c>
      <c r="D33" s="6" t="s">
        <v>182</v>
      </c>
      <c r="E33" s="6" t="s">
        <v>183</v>
      </c>
      <c r="F33" s="6" t="s">
        <v>184</v>
      </c>
      <c r="G33" s="6" t="s">
        <v>185</v>
      </c>
      <c r="H33" s="7" t="s">
        <v>85</v>
      </c>
      <c r="I33" s="7" t="s">
        <v>110</v>
      </c>
      <c r="J33" s="7" t="s">
        <v>25</v>
      </c>
      <c r="K33" s="7" t="s">
        <v>26</v>
      </c>
      <c r="L33" s="7" t="s">
        <v>27</v>
      </c>
      <c r="M33" s="7" t="n">
        <v>64</v>
      </c>
      <c r="N33" s="6"/>
    </row>
    <row r="34" customFormat="false" ht="15" hidden="false" customHeight="false" outlineLevel="0" collapsed="false">
      <c r="A34" s="4" t="s">
        <v>186</v>
      </c>
      <c r="B34" s="5" t="s">
        <v>175</v>
      </c>
      <c r="C34" s="5" t="s">
        <v>176</v>
      </c>
      <c r="D34" s="6" t="s">
        <v>187</v>
      </c>
      <c r="E34" s="6" t="s">
        <v>188</v>
      </c>
      <c r="F34" s="6" t="s">
        <v>189</v>
      </c>
      <c r="G34" s="6" t="s">
        <v>190</v>
      </c>
      <c r="H34" s="7" t="s">
        <v>85</v>
      </c>
      <c r="I34" s="7" t="s">
        <v>110</v>
      </c>
      <c r="J34" s="7" t="s">
        <v>25</v>
      </c>
      <c r="K34" s="7" t="s">
        <v>26</v>
      </c>
      <c r="L34" s="7" t="s">
        <v>25</v>
      </c>
      <c r="M34" s="7" t="n">
        <v>14</v>
      </c>
      <c r="N34" s="6"/>
    </row>
    <row r="35" customFormat="false" ht="15" hidden="false" customHeight="false" outlineLevel="0" collapsed="false">
      <c r="A35" s="4" t="s">
        <v>191</v>
      </c>
      <c r="B35" s="5" t="s">
        <v>175</v>
      </c>
      <c r="C35" s="5" t="s">
        <v>176</v>
      </c>
      <c r="D35" s="6" t="s">
        <v>192</v>
      </c>
      <c r="E35" s="6" t="s">
        <v>193</v>
      </c>
      <c r="F35" s="6" t="s">
        <v>194</v>
      </c>
      <c r="G35" s="6" t="s">
        <v>195</v>
      </c>
      <c r="H35" s="7" t="s">
        <v>85</v>
      </c>
      <c r="I35" s="7" t="s">
        <v>110</v>
      </c>
      <c r="J35" s="7" t="s">
        <v>25</v>
      </c>
      <c r="K35" s="7" t="s">
        <v>26</v>
      </c>
      <c r="L35" s="7" t="s">
        <v>25</v>
      </c>
      <c r="M35" s="7" t="n">
        <v>8</v>
      </c>
      <c r="N35" s="6"/>
    </row>
    <row r="36" customFormat="false" ht="15" hidden="false" customHeight="false" outlineLevel="0" collapsed="false">
      <c r="A36" s="4" t="s">
        <v>196</v>
      </c>
      <c r="B36" s="5" t="s">
        <v>175</v>
      </c>
      <c r="C36" s="5" t="s">
        <v>176</v>
      </c>
      <c r="D36" s="6" t="s">
        <v>197</v>
      </c>
      <c r="E36" s="6" t="s">
        <v>198</v>
      </c>
      <c r="F36" s="6" t="s">
        <v>199</v>
      </c>
      <c r="G36" s="6" t="s">
        <v>200</v>
      </c>
      <c r="H36" s="7" t="s">
        <v>85</v>
      </c>
      <c r="I36" s="7" t="s">
        <v>110</v>
      </c>
      <c r="J36" s="7" t="s">
        <v>25</v>
      </c>
      <c r="K36" s="7" t="s">
        <v>26</v>
      </c>
      <c r="L36" s="7" t="s">
        <v>27</v>
      </c>
      <c r="M36" s="7" t="n">
        <v>12</v>
      </c>
      <c r="N36" s="6"/>
    </row>
    <row r="37" customFormat="false" ht="15" hidden="false" customHeight="false" outlineLevel="0" collapsed="false">
      <c r="A37" s="4" t="s">
        <v>201</v>
      </c>
      <c r="B37" s="5" t="s">
        <v>175</v>
      </c>
      <c r="C37" s="5" t="s">
        <v>176</v>
      </c>
      <c r="D37" s="6" t="s">
        <v>202</v>
      </c>
      <c r="E37" s="6" t="s">
        <v>203</v>
      </c>
      <c r="F37" s="6" t="s">
        <v>204</v>
      </c>
      <c r="G37" s="6" t="s">
        <v>205</v>
      </c>
      <c r="H37" s="7" t="s">
        <v>85</v>
      </c>
      <c r="I37" s="7" t="s">
        <v>24</v>
      </c>
      <c r="J37" s="7" t="s">
        <v>66</v>
      </c>
      <c r="K37" s="7" t="s">
        <v>67</v>
      </c>
      <c r="L37" s="7" t="s">
        <v>25</v>
      </c>
      <c r="M37" s="7" t="n">
        <v>16</v>
      </c>
      <c r="N37" s="6"/>
    </row>
    <row r="38" customFormat="false" ht="15" hidden="false" customHeight="false" outlineLevel="0" collapsed="false">
      <c r="A38" s="4" t="s">
        <v>206</v>
      </c>
      <c r="B38" s="5" t="s">
        <v>175</v>
      </c>
      <c r="C38" s="5" t="s">
        <v>176</v>
      </c>
      <c r="D38" s="6" t="s">
        <v>207</v>
      </c>
      <c r="E38" s="6" t="s">
        <v>208</v>
      </c>
      <c r="F38" s="6" t="s">
        <v>209</v>
      </c>
      <c r="G38" s="6" t="s">
        <v>210</v>
      </c>
      <c r="H38" s="7" t="s">
        <v>85</v>
      </c>
      <c r="I38" s="7" t="s">
        <v>24</v>
      </c>
      <c r="J38" s="7" t="s">
        <v>66</v>
      </c>
      <c r="K38" s="7" t="s">
        <v>67</v>
      </c>
      <c r="L38" s="7" t="s">
        <v>25</v>
      </c>
      <c r="M38" s="7" t="n">
        <v>20</v>
      </c>
      <c r="N38" s="6"/>
    </row>
    <row r="39" customFormat="false" ht="15" hidden="false" customHeight="false" outlineLevel="0" collapsed="false">
      <c r="A39" s="4" t="s">
        <v>211</v>
      </c>
      <c r="B39" s="5" t="s">
        <v>175</v>
      </c>
      <c r="C39" s="5" t="s">
        <v>176</v>
      </c>
      <c r="D39" s="6" t="s">
        <v>212</v>
      </c>
      <c r="E39" s="6" t="s">
        <v>213</v>
      </c>
      <c r="F39" s="6" t="s">
        <v>214</v>
      </c>
      <c r="G39" s="6" t="s">
        <v>215</v>
      </c>
      <c r="H39" s="7" t="s">
        <v>85</v>
      </c>
      <c r="I39" s="7" t="s">
        <v>110</v>
      </c>
      <c r="J39" s="7" t="s">
        <v>25</v>
      </c>
      <c r="K39" s="7" t="s">
        <v>26</v>
      </c>
      <c r="L39" s="7" t="s">
        <v>25</v>
      </c>
      <c r="M39" s="7" t="n">
        <v>16</v>
      </c>
      <c r="N39" s="6"/>
    </row>
    <row r="40" customFormat="false" ht="15" hidden="false" customHeight="false" outlineLevel="0" collapsed="false">
      <c r="A40" s="4" t="s">
        <v>216</v>
      </c>
      <c r="B40" s="5" t="s">
        <v>217</v>
      </c>
      <c r="C40" s="5" t="s">
        <v>218</v>
      </c>
      <c r="D40" s="6" t="s">
        <v>219</v>
      </c>
      <c r="E40" s="6" t="s">
        <v>220</v>
      </c>
      <c r="F40" s="6" t="s">
        <v>221</v>
      </c>
      <c r="G40" s="6" t="s">
        <v>222</v>
      </c>
      <c r="H40" s="7" t="s">
        <v>85</v>
      </c>
      <c r="I40" s="7" t="s">
        <v>40</v>
      </c>
      <c r="J40" s="7" t="s">
        <v>25</v>
      </c>
      <c r="K40" s="7" t="s">
        <v>26</v>
      </c>
      <c r="L40" s="7" t="s">
        <v>27</v>
      </c>
      <c r="M40" s="7" t="n">
        <v>40</v>
      </c>
      <c r="N40" s="6" t="s">
        <v>223</v>
      </c>
    </row>
    <row r="41" customFormat="false" ht="15" hidden="false" customHeight="false" outlineLevel="0" collapsed="false">
      <c r="A41" s="4" t="s">
        <v>224</v>
      </c>
      <c r="B41" s="5" t="s">
        <v>217</v>
      </c>
      <c r="C41" s="5" t="s">
        <v>218</v>
      </c>
      <c r="D41" s="6" t="s">
        <v>225</v>
      </c>
      <c r="E41" s="6" t="s">
        <v>226</v>
      </c>
      <c r="F41" s="6" t="s">
        <v>227</v>
      </c>
      <c r="G41" s="6" t="s">
        <v>228</v>
      </c>
      <c r="H41" s="7" t="s">
        <v>85</v>
      </c>
      <c r="I41" s="7" t="s">
        <v>110</v>
      </c>
      <c r="J41" s="7" t="s">
        <v>25</v>
      </c>
      <c r="K41" s="7" t="s">
        <v>26</v>
      </c>
      <c r="L41" s="7" t="s">
        <v>25</v>
      </c>
      <c r="M41" s="7" t="n">
        <v>24</v>
      </c>
      <c r="N41" s="6"/>
    </row>
    <row r="42" customFormat="false" ht="15" hidden="false" customHeight="false" outlineLevel="0" collapsed="false">
      <c r="A42" s="4" t="s">
        <v>229</v>
      </c>
      <c r="B42" s="5" t="s">
        <v>217</v>
      </c>
      <c r="C42" s="5" t="s">
        <v>218</v>
      </c>
      <c r="D42" s="6" t="s">
        <v>230</v>
      </c>
      <c r="E42" s="6" t="s">
        <v>231</v>
      </c>
      <c r="F42" s="6" t="s">
        <v>232</v>
      </c>
      <c r="G42" s="6" t="s">
        <v>233</v>
      </c>
      <c r="H42" s="7" t="s">
        <v>85</v>
      </c>
      <c r="I42" s="7" t="s">
        <v>110</v>
      </c>
      <c r="J42" s="7" t="s">
        <v>25</v>
      </c>
      <c r="K42" s="7" t="s">
        <v>26</v>
      </c>
      <c r="L42" s="7" t="s">
        <v>25</v>
      </c>
      <c r="M42" s="7" t="n">
        <v>20</v>
      </c>
      <c r="N42" s="6"/>
    </row>
    <row r="43" customFormat="false" ht="15" hidden="false" customHeight="false" outlineLevel="0" collapsed="false">
      <c r="A43" s="4" t="s">
        <v>234</v>
      </c>
      <c r="B43" s="5" t="s">
        <v>217</v>
      </c>
      <c r="C43" s="5" t="s">
        <v>218</v>
      </c>
      <c r="D43" s="6" t="s">
        <v>235</v>
      </c>
      <c r="E43" s="6" t="s">
        <v>236</v>
      </c>
      <c r="F43" s="6" t="s">
        <v>237</v>
      </c>
      <c r="G43" s="6" t="s">
        <v>238</v>
      </c>
      <c r="H43" s="7" t="s">
        <v>85</v>
      </c>
      <c r="I43" s="7" t="s">
        <v>110</v>
      </c>
      <c r="J43" s="7" t="s">
        <v>25</v>
      </c>
      <c r="K43" s="7" t="s">
        <v>26</v>
      </c>
      <c r="L43" s="7" t="s">
        <v>25</v>
      </c>
      <c r="M43" s="7" t="n">
        <v>16</v>
      </c>
      <c r="N43" s="6"/>
    </row>
    <row r="44" customFormat="false" ht="15" hidden="false" customHeight="false" outlineLevel="0" collapsed="false">
      <c r="A44" s="4" t="s">
        <v>239</v>
      </c>
      <c r="B44" s="5" t="s">
        <v>217</v>
      </c>
      <c r="C44" s="5" t="s">
        <v>218</v>
      </c>
      <c r="D44" s="6" t="s">
        <v>240</v>
      </c>
      <c r="E44" s="6" t="s">
        <v>241</v>
      </c>
      <c r="F44" s="6" t="s">
        <v>242</v>
      </c>
      <c r="G44" s="6" t="s">
        <v>243</v>
      </c>
      <c r="H44" s="7" t="s">
        <v>85</v>
      </c>
      <c r="I44" s="7" t="s">
        <v>110</v>
      </c>
      <c r="J44" s="7" t="s">
        <v>25</v>
      </c>
      <c r="K44" s="7" t="s">
        <v>26</v>
      </c>
      <c r="L44" s="7" t="s">
        <v>25</v>
      </c>
      <c r="M44" s="7" t="n">
        <v>28</v>
      </c>
      <c r="N44" s="6"/>
    </row>
    <row r="45" customFormat="false" ht="15" hidden="false" customHeight="false" outlineLevel="0" collapsed="false">
      <c r="A45" s="4" t="s">
        <v>244</v>
      </c>
      <c r="B45" s="5" t="s">
        <v>217</v>
      </c>
      <c r="C45" s="5" t="s">
        <v>218</v>
      </c>
      <c r="D45" s="6" t="s">
        <v>245</v>
      </c>
      <c r="E45" s="6" t="s">
        <v>246</v>
      </c>
      <c r="F45" s="6" t="s">
        <v>247</v>
      </c>
      <c r="G45" s="6" t="s">
        <v>248</v>
      </c>
      <c r="H45" s="7" t="s">
        <v>85</v>
      </c>
      <c r="I45" s="7" t="s">
        <v>110</v>
      </c>
      <c r="J45" s="7" t="s">
        <v>66</v>
      </c>
      <c r="K45" s="7" t="s">
        <v>67</v>
      </c>
      <c r="L45" s="7" t="s">
        <v>66</v>
      </c>
      <c r="M45" s="7" t="n">
        <v>24</v>
      </c>
      <c r="N45" s="6"/>
    </row>
    <row r="46" customFormat="false" ht="15" hidden="false" customHeight="false" outlineLevel="0" collapsed="false">
      <c r="A46" s="4" t="s">
        <v>249</v>
      </c>
      <c r="B46" s="5" t="s">
        <v>217</v>
      </c>
      <c r="C46" s="5" t="s">
        <v>218</v>
      </c>
      <c r="D46" s="6" t="s">
        <v>250</v>
      </c>
      <c r="E46" s="6" t="s">
        <v>251</v>
      </c>
      <c r="F46" s="6" t="s">
        <v>252</v>
      </c>
      <c r="G46" s="6" t="s">
        <v>253</v>
      </c>
      <c r="H46" s="7" t="s">
        <v>85</v>
      </c>
      <c r="I46" s="7" t="s">
        <v>110</v>
      </c>
      <c r="J46" s="7" t="s">
        <v>66</v>
      </c>
      <c r="K46" s="7" t="s">
        <v>67</v>
      </c>
      <c r="L46" s="7" t="s">
        <v>66</v>
      </c>
      <c r="M46" s="7" t="n">
        <v>24</v>
      </c>
      <c r="N46" s="6"/>
    </row>
    <row r="47" customFormat="false" ht="15" hidden="false" customHeight="false" outlineLevel="0" collapsed="false">
      <c r="A47" s="4" t="s">
        <v>254</v>
      </c>
      <c r="B47" s="5" t="s">
        <v>217</v>
      </c>
      <c r="C47" s="5" t="s">
        <v>218</v>
      </c>
      <c r="D47" s="6" t="s">
        <v>255</v>
      </c>
      <c r="E47" s="6" t="s">
        <v>256</v>
      </c>
      <c r="F47" s="6" t="s">
        <v>257</v>
      </c>
      <c r="G47" s="6" t="s">
        <v>258</v>
      </c>
      <c r="H47" s="7" t="s">
        <v>85</v>
      </c>
      <c r="I47" s="7" t="s">
        <v>40</v>
      </c>
      <c r="J47" s="7" t="s">
        <v>66</v>
      </c>
      <c r="K47" s="7" t="s">
        <v>67</v>
      </c>
      <c r="L47" s="7" t="s">
        <v>66</v>
      </c>
      <c r="M47" s="7" t="n">
        <v>24</v>
      </c>
      <c r="N47" s="6" t="s">
        <v>259</v>
      </c>
    </row>
    <row r="48" customFormat="false" ht="15" hidden="false" customHeight="false" outlineLevel="0" collapsed="false">
      <c r="A48" s="4" t="s">
        <v>260</v>
      </c>
      <c r="B48" s="5" t="s">
        <v>217</v>
      </c>
      <c r="C48" s="5" t="s">
        <v>218</v>
      </c>
      <c r="D48" s="6" t="s">
        <v>261</v>
      </c>
      <c r="E48" s="6" t="s">
        <v>262</v>
      </c>
      <c r="F48" s="6" t="s">
        <v>263</v>
      </c>
      <c r="G48" s="6" t="s">
        <v>264</v>
      </c>
      <c r="H48" s="7" t="s">
        <v>85</v>
      </c>
      <c r="I48" s="7" t="s">
        <v>110</v>
      </c>
      <c r="J48" s="7" t="s">
        <v>265</v>
      </c>
      <c r="K48" s="7" t="s">
        <v>67</v>
      </c>
      <c r="L48" s="7" t="s">
        <v>265</v>
      </c>
      <c r="M48" s="7" t="n">
        <v>12</v>
      </c>
      <c r="N48" s="6"/>
    </row>
    <row r="49" customFormat="false" ht="15" hidden="false" customHeight="false" outlineLevel="0" collapsed="false">
      <c r="A49" s="4" t="s">
        <v>266</v>
      </c>
      <c r="B49" s="5" t="s">
        <v>267</v>
      </c>
      <c r="C49" s="5" t="s">
        <v>268</v>
      </c>
      <c r="D49" s="6" t="s">
        <v>269</v>
      </c>
      <c r="E49" s="6" t="s">
        <v>270</v>
      </c>
      <c r="F49" s="6" t="s">
        <v>271</v>
      </c>
      <c r="G49" s="6" t="s">
        <v>272</v>
      </c>
      <c r="H49" s="7" t="s">
        <v>85</v>
      </c>
      <c r="I49" s="7" t="s">
        <v>24</v>
      </c>
      <c r="J49" s="7" t="s">
        <v>25</v>
      </c>
      <c r="K49" s="7" t="s">
        <v>26</v>
      </c>
      <c r="L49" s="7" t="s">
        <v>27</v>
      </c>
      <c r="M49" s="7" t="n">
        <v>40</v>
      </c>
      <c r="N49" s="6" t="s">
        <v>273</v>
      </c>
    </row>
    <row r="50" customFormat="false" ht="15" hidden="false" customHeight="false" outlineLevel="0" collapsed="false">
      <c r="A50" s="4" t="s">
        <v>274</v>
      </c>
      <c r="B50" s="5" t="s">
        <v>267</v>
      </c>
      <c r="C50" s="5" t="s">
        <v>268</v>
      </c>
      <c r="D50" s="6" t="s">
        <v>275</v>
      </c>
      <c r="E50" s="6" t="s">
        <v>276</v>
      </c>
      <c r="F50" s="6" t="s">
        <v>277</v>
      </c>
      <c r="G50" s="6" t="s">
        <v>278</v>
      </c>
      <c r="H50" s="7" t="s">
        <v>85</v>
      </c>
      <c r="I50" s="7" t="s">
        <v>24</v>
      </c>
      <c r="J50" s="7" t="s">
        <v>66</v>
      </c>
      <c r="K50" s="7" t="s">
        <v>67</v>
      </c>
      <c r="L50" s="7" t="s">
        <v>66</v>
      </c>
      <c r="M50" s="7" t="n">
        <v>24</v>
      </c>
      <c r="N50" s="6" t="s">
        <v>279</v>
      </c>
    </row>
    <row r="51" customFormat="false" ht="15" hidden="false" customHeight="false" outlineLevel="0" collapsed="false">
      <c r="A51" s="4" t="s">
        <v>280</v>
      </c>
      <c r="B51" s="5" t="s">
        <v>267</v>
      </c>
      <c r="C51" s="5" t="s">
        <v>268</v>
      </c>
      <c r="D51" s="6" t="s">
        <v>281</v>
      </c>
      <c r="E51" s="6" t="s">
        <v>282</v>
      </c>
      <c r="F51" s="6" t="s">
        <v>283</v>
      </c>
      <c r="G51" s="6" t="s">
        <v>284</v>
      </c>
      <c r="H51" s="7" t="s">
        <v>85</v>
      </c>
      <c r="I51" s="7" t="s">
        <v>110</v>
      </c>
      <c r="J51" s="7" t="s">
        <v>25</v>
      </c>
      <c r="K51" s="7" t="s">
        <v>26</v>
      </c>
      <c r="L51" s="7" t="s">
        <v>25</v>
      </c>
      <c r="M51" s="7" t="n">
        <v>20</v>
      </c>
      <c r="N51" s="6"/>
    </row>
    <row r="52" customFormat="false" ht="15" hidden="false" customHeight="false" outlineLevel="0" collapsed="false">
      <c r="A52" s="4" t="s">
        <v>285</v>
      </c>
      <c r="B52" s="5" t="s">
        <v>267</v>
      </c>
      <c r="C52" s="5" t="s">
        <v>268</v>
      </c>
      <c r="D52" s="6" t="s">
        <v>286</v>
      </c>
      <c r="E52" s="6" t="s">
        <v>287</v>
      </c>
      <c r="F52" s="6" t="s">
        <v>288</v>
      </c>
      <c r="G52" s="6" t="s">
        <v>289</v>
      </c>
      <c r="H52" s="7" t="s">
        <v>85</v>
      </c>
      <c r="I52" s="7" t="s">
        <v>110</v>
      </c>
      <c r="J52" s="7" t="s">
        <v>25</v>
      </c>
      <c r="K52" s="7" t="s">
        <v>26</v>
      </c>
      <c r="L52" s="7" t="s">
        <v>25</v>
      </c>
      <c r="M52" s="7" t="n">
        <v>20</v>
      </c>
      <c r="N52" s="6"/>
    </row>
    <row r="53" customFormat="false" ht="22.35" hidden="false" customHeight="false" outlineLevel="0" collapsed="false">
      <c r="A53" s="4" t="s">
        <v>290</v>
      </c>
      <c r="B53" s="5" t="s">
        <v>267</v>
      </c>
      <c r="C53" s="5" t="s">
        <v>268</v>
      </c>
      <c r="D53" s="6" t="s">
        <v>291</v>
      </c>
      <c r="E53" s="6" t="s">
        <v>292</v>
      </c>
      <c r="F53" s="6" t="s">
        <v>293</v>
      </c>
      <c r="G53" s="6" t="s">
        <v>294</v>
      </c>
      <c r="H53" s="7" t="s">
        <v>85</v>
      </c>
      <c r="I53" s="7" t="s">
        <v>110</v>
      </c>
      <c r="J53" s="7" t="s">
        <v>66</v>
      </c>
      <c r="K53" s="7" t="s">
        <v>67</v>
      </c>
      <c r="L53" s="7" t="s">
        <v>66</v>
      </c>
      <c r="M53" s="7" t="n">
        <v>16</v>
      </c>
      <c r="N53" s="6"/>
    </row>
    <row r="54" customFormat="false" ht="15" hidden="false" customHeight="false" outlineLevel="0" collapsed="false">
      <c r="A54" s="4" t="s">
        <v>295</v>
      </c>
      <c r="B54" s="5" t="s">
        <v>267</v>
      </c>
      <c r="C54" s="5" t="s">
        <v>268</v>
      </c>
      <c r="D54" s="6" t="s">
        <v>296</v>
      </c>
      <c r="E54" s="6" t="s">
        <v>297</v>
      </c>
      <c r="F54" s="6" t="s">
        <v>298</v>
      </c>
      <c r="G54" s="6" t="s">
        <v>299</v>
      </c>
      <c r="H54" s="7" t="s">
        <v>85</v>
      </c>
      <c r="I54" s="7" t="s">
        <v>40</v>
      </c>
      <c r="J54" s="7" t="s">
        <v>25</v>
      </c>
      <c r="K54" s="7" t="s">
        <v>26</v>
      </c>
      <c r="L54" s="7" t="s">
        <v>66</v>
      </c>
      <c r="M54" s="7" t="n">
        <v>12</v>
      </c>
      <c r="N54" s="6"/>
    </row>
    <row r="55" customFormat="false" ht="15" hidden="false" customHeight="false" outlineLevel="0" collapsed="false">
      <c r="A55" s="4" t="s">
        <v>300</v>
      </c>
      <c r="B55" s="5" t="s">
        <v>267</v>
      </c>
      <c r="C55" s="5" t="s">
        <v>268</v>
      </c>
      <c r="D55" s="6" t="s">
        <v>301</v>
      </c>
      <c r="E55" s="6" t="s">
        <v>302</v>
      </c>
      <c r="F55" s="6" t="s">
        <v>303</v>
      </c>
      <c r="G55" s="6" t="s">
        <v>304</v>
      </c>
      <c r="H55" s="7" t="s">
        <v>85</v>
      </c>
      <c r="I55" s="7" t="s">
        <v>110</v>
      </c>
      <c r="J55" s="7" t="s">
        <v>25</v>
      </c>
      <c r="K55" s="7" t="s">
        <v>26</v>
      </c>
      <c r="L55" s="7" t="s">
        <v>66</v>
      </c>
      <c r="M55" s="7" t="n">
        <v>16</v>
      </c>
      <c r="N55" s="6"/>
    </row>
    <row r="56" customFormat="false" ht="15" hidden="false" customHeight="false" outlineLevel="0" collapsed="false">
      <c r="A56" s="4" t="s">
        <v>305</v>
      </c>
      <c r="B56" s="5" t="s">
        <v>267</v>
      </c>
      <c r="C56" s="5" t="s">
        <v>268</v>
      </c>
      <c r="D56" s="6" t="s">
        <v>306</v>
      </c>
      <c r="E56" s="6" t="s">
        <v>307</v>
      </c>
      <c r="F56" s="6" t="s">
        <v>308</v>
      </c>
      <c r="G56" s="6" t="s">
        <v>309</v>
      </c>
      <c r="H56" s="7" t="s">
        <v>85</v>
      </c>
      <c r="I56" s="7" t="s">
        <v>110</v>
      </c>
      <c r="J56" s="7" t="s">
        <v>66</v>
      </c>
      <c r="K56" s="7" t="s">
        <v>67</v>
      </c>
      <c r="L56" s="7" t="s">
        <v>66</v>
      </c>
      <c r="M56" s="7" t="n">
        <v>12</v>
      </c>
      <c r="N56" s="6"/>
    </row>
    <row r="57" customFormat="false" ht="15" hidden="false" customHeight="false" outlineLevel="0" collapsed="false">
      <c r="A57" s="4" t="s">
        <v>310</v>
      </c>
      <c r="B57" s="5" t="s">
        <v>311</v>
      </c>
      <c r="C57" s="5" t="s">
        <v>312</v>
      </c>
      <c r="D57" s="6" t="s">
        <v>313</v>
      </c>
      <c r="E57" s="6" t="s">
        <v>314</v>
      </c>
      <c r="F57" s="6" t="s">
        <v>315</v>
      </c>
      <c r="G57" s="6" t="s">
        <v>316</v>
      </c>
      <c r="H57" s="7" t="s">
        <v>85</v>
      </c>
      <c r="I57" s="7" t="s">
        <v>110</v>
      </c>
      <c r="J57" s="7" t="s">
        <v>25</v>
      </c>
      <c r="K57" s="7" t="s">
        <v>26</v>
      </c>
      <c r="L57" s="7" t="s">
        <v>27</v>
      </c>
      <c r="M57" s="7" t="n">
        <v>16</v>
      </c>
      <c r="N57" s="6"/>
    </row>
    <row r="58" customFormat="false" ht="15" hidden="false" customHeight="false" outlineLevel="0" collapsed="false">
      <c r="A58" s="4" t="s">
        <v>317</v>
      </c>
      <c r="B58" s="5" t="s">
        <v>311</v>
      </c>
      <c r="C58" s="5" t="s">
        <v>312</v>
      </c>
      <c r="D58" s="6" t="s">
        <v>318</v>
      </c>
      <c r="E58" s="6" t="s">
        <v>319</v>
      </c>
      <c r="F58" s="6" t="s">
        <v>320</v>
      </c>
      <c r="G58" s="6" t="s">
        <v>321</v>
      </c>
      <c r="H58" s="7" t="s">
        <v>85</v>
      </c>
      <c r="I58" s="7" t="s">
        <v>40</v>
      </c>
      <c r="J58" s="7" t="s">
        <v>25</v>
      </c>
      <c r="K58" s="7" t="s">
        <v>26</v>
      </c>
      <c r="L58" s="7" t="s">
        <v>25</v>
      </c>
      <c r="M58" s="7" t="n">
        <v>18</v>
      </c>
      <c r="N58" s="6"/>
    </row>
    <row r="59" customFormat="false" ht="15" hidden="false" customHeight="false" outlineLevel="0" collapsed="false">
      <c r="A59" s="4" t="s">
        <v>322</v>
      </c>
      <c r="B59" s="5" t="s">
        <v>311</v>
      </c>
      <c r="C59" s="5" t="s">
        <v>312</v>
      </c>
      <c r="D59" s="6" t="s">
        <v>323</v>
      </c>
      <c r="E59" s="6" t="s">
        <v>324</v>
      </c>
      <c r="F59" s="6" t="s">
        <v>325</v>
      </c>
      <c r="G59" s="6" t="s">
        <v>326</v>
      </c>
      <c r="H59" s="7" t="s">
        <v>85</v>
      </c>
      <c r="I59" s="7" t="s">
        <v>110</v>
      </c>
      <c r="J59" s="7" t="s">
        <v>66</v>
      </c>
      <c r="K59" s="7" t="s">
        <v>67</v>
      </c>
      <c r="L59" s="7" t="s">
        <v>66</v>
      </c>
      <c r="M59" s="7" t="n">
        <v>12</v>
      </c>
      <c r="N59" s="6"/>
    </row>
    <row r="60" customFormat="false" ht="15" hidden="false" customHeight="false" outlineLevel="0" collapsed="false">
      <c r="A60" s="4" t="s">
        <v>327</v>
      </c>
      <c r="B60" s="5" t="s">
        <v>311</v>
      </c>
      <c r="C60" s="5" t="s">
        <v>312</v>
      </c>
      <c r="D60" s="6" t="s">
        <v>328</v>
      </c>
      <c r="E60" s="6" t="s">
        <v>329</v>
      </c>
      <c r="F60" s="6" t="s">
        <v>330</v>
      </c>
      <c r="G60" s="6" t="s">
        <v>331</v>
      </c>
      <c r="H60" s="7" t="s">
        <v>85</v>
      </c>
      <c r="I60" s="7" t="s">
        <v>24</v>
      </c>
      <c r="J60" s="7" t="s">
        <v>25</v>
      </c>
      <c r="K60" s="7" t="s">
        <v>26</v>
      </c>
      <c r="L60" s="7" t="s">
        <v>25</v>
      </c>
      <c r="M60" s="7" t="n">
        <v>16</v>
      </c>
      <c r="N60" s="6"/>
    </row>
    <row r="61" customFormat="false" ht="15" hidden="false" customHeight="false" outlineLevel="0" collapsed="false">
      <c r="A61" s="4" t="s">
        <v>332</v>
      </c>
      <c r="B61" s="5" t="s">
        <v>333</v>
      </c>
      <c r="C61" s="5" t="s">
        <v>334</v>
      </c>
      <c r="D61" s="6" t="s">
        <v>335</v>
      </c>
      <c r="E61" s="6" t="s">
        <v>336</v>
      </c>
      <c r="F61" s="6" t="s">
        <v>337</v>
      </c>
      <c r="G61" s="6" t="s">
        <v>338</v>
      </c>
      <c r="H61" s="7" t="s">
        <v>85</v>
      </c>
      <c r="I61" s="7" t="s">
        <v>110</v>
      </c>
      <c r="J61" s="7" t="s">
        <v>66</v>
      </c>
      <c r="K61" s="7" t="s">
        <v>67</v>
      </c>
      <c r="L61" s="7" t="s">
        <v>66</v>
      </c>
      <c r="M61" s="7" t="n">
        <v>18</v>
      </c>
      <c r="N61" s="6"/>
    </row>
    <row r="62" customFormat="false" ht="15" hidden="false" customHeight="false" outlineLevel="0" collapsed="false">
      <c r="A62" s="4" t="s">
        <v>339</v>
      </c>
      <c r="B62" s="5" t="s">
        <v>333</v>
      </c>
      <c r="C62" s="5" t="s">
        <v>334</v>
      </c>
      <c r="D62" s="6" t="s">
        <v>340</v>
      </c>
      <c r="E62" s="6" t="s">
        <v>341</v>
      </c>
      <c r="F62" s="6" t="s">
        <v>342</v>
      </c>
      <c r="G62" s="6" t="s">
        <v>343</v>
      </c>
      <c r="H62" s="7" t="s">
        <v>85</v>
      </c>
      <c r="I62" s="7" t="s">
        <v>110</v>
      </c>
      <c r="J62" s="7" t="s">
        <v>66</v>
      </c>
      <c r="K62" s="7" t="s">
        <v>67</v>
      </c>
      <c r="L62" s="7" t="s">
        <v>66</v>
      </c>
      <c r="M62" s="7" t="n">
        <v>14</v>
      </c>
      <c r="N62" s="6"/>
    </row>
    <row r="63" customFormat="false" ht="15" hidden="false" customHeight="false" outlineLevel="0" collapsed="false">
      <c r="A63" s="4" t="s">
        <v>344</v>
      </c>
      <c r="B63" s="5" t="s">
        <v>333</v>
      </c>
      <c r="C63" s="5" t="s">
        <v>334</v>
      </c>
      <c r="D63" s="6" t="s">
        <v>345</v>
      </c>
      <c r="E63" s="6" t="s">
        <v>346</v>
      </c>
      <c r="F63" s="6" t="s">
        <v>347</v>
      </c>
      <c r="G63" s="6" t="s">
        <v>348</v>
      </c>
      <c r="H63" s="7" t="s">
        <v>85</v>
      </c>
      <c r="I63" s="7" t="s">
        <v>110</v>
      </c>
      <c r="J63" s="7" t="s">
        <v>25</v>
      </c>
      <c r="K63" s="7" t="s">
        <v>26</v>
      </c>
      <c r="L63" s="7" t="s">
        <v>25</v>
      </c>
      <c r="M63" s="7" t="n">
        <v>14</v>
      </c>
      <c r="N63" s="6"/>
    </row>
    <row r="64" customFormat="false" ht="15" hidden="false" customHeight="false" outlineLevel="0" collapsed="false">
      <c r="A64" s="4" t="s">
        <v>349</v>
      </c>
      <c r="B64" s="5" t="s">
        <v>333</v>
      </c>
      <c r="C64" s="5" t="s">
        <v>334</v>
      </c>
      <c r="D64" s="6" t="s">
        <v>350</v>
      </c>
      <c r="E64" s="6" t="s">
        <v>351</v>
      </c>
      <c r="F64" s="6" t="s">
        <v>352</v>
      </c>
      <c r="G64" s="6" t="s">
        <v>353</v>
      </c>
      <c r="H64" s="7" t="s">
        <v>85</v>
      </c>
      <c r="I64" s="7" t="s">
        <v>110</v>
      </c>
      <c r="J64" s="7" t="s">
        <v>25</v>
      </c>
      <c r="K64" s="7" t="s">
        <v>26</v>
      </c>
      <c r="L64" s="7" t="s">
        <v>66</v>
      </c>
      <c r="M64" s="7" t="n">
        <v>16</v>
      </c>
      <c r="N64" s="6"/>
    </row>
    <row r="65" customFormat="false" ht="15" hidden="false" customHeight="false" outlineLevel="0" collapsed="false">
      <c r="A65" s="4" t="s">
        <v>354</v>
      </c>
      <c r="B65" s="5" t="s">
        <v>355</v>
      </c>
      <c r="C65" s="5" t="s">
        <v>356</v>
      </c>
      <c r="D65" s="6" t="s">
        <v>357</v>
      </c>
      <c r="E65" s="6" t="s">
        <v>358</v>
      </c>
      <c r="F65" s="6" t="s">
        <v>359</v>
      </c>
      <c r="G65" s="6" t="s">
        <v>360</v>
      </c>
      <c r="H65" s="7" t="s">
        <v>85</v>
      </c>
      <c r="I65" s="7" t="s">
        <v>110</v>
      </c>
      <c r="J65" s="7" t="s">
        <v>25</v>
      </c>
      <c r="K65" s="7" t="s">
        <v>26</v>
      </c>
      <c r="L65" s="7" t="s">
        <v>25</v>
      </c>
      <c r="M65" s="7" t="n">
        <v>10</v>
      </c>
      <c r="N65" s="6"/>
    </row>
    <row r="66" customFormat="false" ht="15" hidden="false" customHeight="false" outlineLevel="0" collapsed="false">
      <c r="A66" s="4" t="s">
        <v>361</v>
      </c>
      <c r="B66" s="5" t="s">
        <v>355</v>
      </c>
      <c r="C66" s="5" t="s">
        <v>356</v>
      </c>
      <c r="D66" s="6" t="s">
        <v>362</v>
      </c>
      <c r="E66" s="6" t="s">
        <v>363</v>
      </c>
      <c r="F66" s="6" t="s">
        <v>364</v>
      </c>
      <c r="G66" s="6" t="s">
        <v>365</v>
      </c>
      <c r="H66" s="7" t="s">
        <v>85</v>
      </c>
      <c r="I66" s="7" t="s">
        <v>110</v>
      </c>
      <c r="J66" s="7" t="s">
        <v>25</v>
      </c>
      <c r="K66" s="7" t="s">
        <v>26</v>
      </c>
      <c r="L66" s="7" t="s">
        <v>25</v>
      </c>
      <c r="M66" s="7" t="n">
        <v>12</v>
      </c>
      <c r="N66" s="6"/>
    </row>
    <row r="67" customFormat="false" ht="15" hidden="false" customHeight="false" outlineLevel="0" collapsed="false">
      <c r="A67" s="4" t="s">
        <v>366</v>
      </c>
      <c r="B67" s="5" t="s">
        <v>355</v>
      </c>
      <c r="C67" s="5" t="s">
        <v>356</v>
      </c>
      <c r="D67" s="6" t="s">
        <v>367</v>
      </c>
      <c r="E67" s="6" t="s">
        <v>368</v>
      </c>
      <c r="F67" s="6" t="s">
        <v>369</v>
      </c>
      <c r="G67" s="6" t="s">
        <v>370</v>
      </c>
      <c r="H67" s="7" t="s">
        <v>85</v>
      </c>
      <c r="I67" s="7" t="s">
        <v>110</v>
      </c>
      <c r="J67" s="7" t="s">
        <v>25</v>
      </c>
      <c r="K67" s="7" t="s">
        <v>26</v>
      </c>
      <c r="L67" s="7" t="s">
        <v>25</v>
      </c>
      <c r="M67" s="7" t="n">
        <v>10</v>
      </c>
      <c r="N67" s="6"/>
    </row>
    <row r="68" customFormat="false" ht="15" hidden="false" customHeight="false" outlineLevel="0" collapsed="false">
      <c r="A68" s="4" t="s">
        <v>371</v>
      </c>
      <c r="B68" s="5" t="s">
        <v>355</v>
      </c>
      <c r="C68" s="5" t="s">
        <v>356</v>
      </c>
      <c r="D68" s="6" t="s">
        <v>372</v>
      </c>
      <c r="E68" s="6" t="s">
        <v>373</v>
      </c>
      <c r="F68" s="6" t="s">
        <v>374</v>
      </c>
      <c r="G68" s="6" t="s">
        <v>375</v>
      </c>
      <c r="H68" s="7" t="s">
        <v>85</v>
      </c>
      <c r="I68" s="7" t="s">
        <v>40</v>
      </c>
      <c r="J68" s="7" t="s">
        <v>66</v>
      </c>
      <c r="K68" s="7" t="s">
        <v>67</v>
      </c>
      <c r="L68" s="7" t="s">
        <v>66</v>
      </c>
      <c r="M68" s="7" t="n">
        <v>20</v>
      </c>
      <c r="N68" s="6"/>
    </row>
    <row r="69" customFormat="false" ht="15" hidden="false" customHeight="false" outlineLevel="0" collapsed="false">
      <c r="A69" s="4" t="s">
        <v>376</v>
      </c>
      <c r="B69" s="5" t="s">
        <v>355</v>
      </c>
      <c r="C69" s="5" t="s">
        <v>356</v>
      </c>
      <c r="D69" s="6" t="s">
        <v>377</v>
      </c>
      <c r="E69" s="6" t="s">
        <v>378</v>
      </c>
      <c r="F69" s="6" t="s">
        <v>379</v>
      </c>
      <c r="G69" s="6" t="s">
        <v>380</v>
      </c>
      <c r="H69" s="7" t="s">
        <v>85</v>
      </c>
      <c r="I69" s="7" t="s">
        <v>24</v>
      </c>
      <c r="J69" s="7" t="s">
        <v>66</v>
      </c>
      <c r="K69" s="7" t="s">
        <v>67</v>
      </c>
      <c r="L69" s="7" t="s">
        <v>66</v>
      </c>
      <c r="M69" s="7" t="n">
        <v>20</v>
      </c>
      <c r="N69" s="6"/>
    </row>
    <row r="70" customFormat="false" ht="22.35" hidden="false" customHeight="false" outlineLevel="0" collapsed="false">
      <c r="A70" s="4" t="s">
        <v>381</v>
      </c>
      <c r="B70" s="5" t="s">
        <v>382</v>
      </c>
      <c r="C70" s="5" t="s">
        <v>383</v>
      </c>
      <c r="D70" s="6" t="s">
        <v>384</v>
      </c>
      <c r="E70" s="6" t="s">
        <v>385</v>
      </c>
      <c r="F70" s="6" t="s">
        <v>386</v>
      </c>
      <c r="G70" s="6" t="s">
        <v>387</v>
      </c>
      <c r="H70" s="7" t="s">
        <v>85</v>
      </c>
      <c r="I70" s="7" t="s">
        <v>40</v>
      </c>
      <c r="J70" s="7" t="s">
        <v>25</v>
      </c>
      <c r="K70" s="7" t="s">
        <v>26</v>
      </c>
      <c r="L70" s="7" t="s">
        <v>27</v>
      </c>
      <c r="M70" s="7" t="n">
        <v>24</v>
      </c>
      <c r="N70" s="6" t="s">
        <v>388</v>
      </c>
    </row>
    <row r="71" customFormat="false" ht="15" hidden="false" customHeight="false" outlineLevel="0" collapsed="false">
      <c r="A71" s="4" t="s">
        <v>389</v>
      </c>
      <c r="B71" s="5" t="s">
        <v>382</v>
      </c>
      <c r="C71" s="5" t="s">
        <v>383</v>
      </c>
      <c r="D71" s="6" t="s">
        <v>390</v>
      </c>
      <c r="E71" s="6" t="s">
        <v>391</v>
      </c>
      <c r="F71" s="6" t="s">
        <v>392</v>
      </c>
      <c r="G71" s="6" t="s">
        <v>393</v>
      </c>
      <c r="H71" s="7" t="s">
        <v>85</v>
      </c>
      <c r="I71" s="7" t="s">
        <v>24</v>
      </c>
      <c r="J71" s="7" t="s">
        <v>25</v>
      </c>
      <c r="K71" s="7" t="s">
        <v>26</v>
      </c>
      <c r="L71" s="7" t="s">
        <v>66</v>
      </c>
      <c r="M71" s="7" t="n">
        <v>10</v>
      </c>
      <c r="N71" s="6" t="s">
        <v>394</v>
      </c>
    </row>
    <row r="72" customFormat="false" ht="15" hidden="false" customHeight="false" outlineLevel="0" collapsed="false">
      <c r="A72" s="4" t="s">
        <v>395</v>
      </c>
      <c r="B72" s="5" t="s">
        <v>382</v>
      </c>
      <c r="C72" s="5" t="s">
        <v>383</v>
      </c>
      <c r="D72" s="6" t="s">
        <v>396</v>
      </c>
      <c r="E72" s="6" t="s">
        <v>397</v>
      </c>
      <c r="F72" s="6" t="s">
        <v>398</v>
      </c>
      <c r="G72" s="6" t="s">
        <v>399</v>
      </c>
      <c r="H72" s="7" t="s">
        <v>85</v>
      </c>
      <c r="I72" s="7" t="s">
        <v>40</v>
      </c>
      <c r="J72" s="7" t="s">
        <v>25</v>
      </c>
      <c r="K72" s="7" t="s">
        <v>26</v>
      </c>
      <c r="L72" s="7" t="s">
        <v>25</v>
      </c>
      <c r="M72" s="7" t="n">
        <v>28</v>
      </c>
      <c r="N72" s="6" t="s">
        <v>400</v>
      </c>
    </row>
    <row r="73" customFormat="false" ht="15" hidden="false" customHeight="false" outlineLevel="0" collapsed="false">
      <c r="A73" s="4" t="s">
        <v>401</v>
      </c>
      <c r="B73" s="5" t="s">
        <v>382</v>
      </c>
      <c r="C73" s="5" t="s">
        <v>383</v>
      </c>
      <c r="D73" s="6" t="s">
        <v>402</v>
      </c>
      <c r="E73" s="6" t="s">
        <v>403</v>
      </c>
      <c r="F73" s="6" t="s">
        <v>404</v>
      </c>
      <c r="G73" s="6" t="s">
        <v>405</v>
      </c>
      <c r="H73" s="7" t="s">
        <v>85</v>
      </c>
      <c r="I73" s="7" t="s">
        <v>40</v>
      </c>
      <c r="J73" s="7" t="s">
        <v>25</v>
      </c>
      <c r="K73" s="7" t="s">
        <v>26</v>
      </c>
      <c r="L73" s="7" t="s">
        <v>66</v>
      </c>
      <c r="M73" s="7" t="n">
        <v>24</v>
      </c>
      <c r="N73" s="6"/>
    </row>
    <row r="74" customFormat="false" ht="15" hidden="false" customHeight="false" outlineLevel="0" collapsed="false">
      <c r="A74" s="4" t="s">
        <v>406</v>
      </c>
      <c r="B74" s="5" t="s">
        <v>382</v>
      </c>
      <c r="C74" s="5" t="s">
        <v>383</v>
      </c>
      <c r="D74" s="6" t="s">
        <v>407</v>
      </c>
      <c r="E74" s="6" t="s">
        <v>408</v>
      </c>
      <c r="F74" s="6" t="s">
        <v>409</v>
      </c>
      <c r="G74" s="6" t="s">
        <v>410</v>
      </c>
      <c r="H74" s="7" t="s">
        <v>85</v>
      </c>
      <c r="I74" s="7" t="s">
        <v>24</v>
      </c>
      <c r="J74" s="7" t="s">
        <v>25</v>
      </c>
      <c r="K74" s="7" t="s">
        <v>26</v>
      </c>
      <c r="L74" s="7" t="s">
        <v>25</v>
      </c>
      <c r="M74" s="7" t="n">
        <v>16</v>
      </c>
      <c r="N74" s="6"/>
    </row>
    <row r="75" customFormat="false" ht="15" hidden="false" customHeight="false" outlineLevel="0" collapsed="false">
      <c r="A75" s="4" t="s">
        <v>411</v>
      </c>
      <c r="B75" s="5" t="s">
        <v>412</v>
      </c>
      <c r="C75" s="5" t="s">
        <v>413</v>
      </c>
      <c r="D75" s="6" t="s">
        <v>414</v>
      </c>
      <c r="E75" s="6" t="s">
        <v>415</v>
      </c>
      <c r="F75" s="6" t="s">
        <v>416</v>
      </c>
      <c r="G75" s="6" t="s">
        <v>417</v>
      </c>
      <c r="H75" s="7" t="s">
        <v>418</v>
      </c>
      <c r="I75" s="7" t="s">
        <v>24</v>
      </c>
      <c r="J75" s="7" t="s">
        <v>25</v>
      </c>
      <c r="K75" s="7" t="s">
        <v>26</v>
      </c>
      <c r="L75" s="7" t="s">
        <v>27</v>
      </c>
      <c r="M75" s="7" t="n">
        <v>16</v>
      </c>
      <c r="N75" s="6" t="s">
        <v>419</v>
      </c>
    </row>
    <row r="76" customFormat="false" ht="15" hidden="false" customHeight="false" outlineLevel="0" collapsed="false">
      <c r="A76" s="4" t="s">
        <v>420</v>
      </c>
      <c r="B76" s="5" t="s">
        <v>412</v>
      </c>
      <c r="C76" s="5" t="s">
        <v>413</v>
      </c>
      <c r="D76" s="6" t="s">
        <v>421</v>
      </c>
      <c r="E76" s="6" t="s">
        <v>422</v>
      </c>
      <c r="F76" s="6" t="s">
        <v>423</v>
      </c>
      <c r="G76" s="6" t="s">
        <v>424</v>
      </c>
      <c r="H76" s="7" t="s">
        <v>418</v>
      </c>
      <c r="I76" s="7" t="s">
        <v>24</v>
      </c>
      <c r="J76" s="7" t="s">
        <v>66</v>
      </c>
      <c r="K76" s="7" t="s">
        <v>67</v>
      </c>
      <c r="L76" s="7" t="s">
        <v>25</v>
      </c>
      <c r="M76" s="7" t="n">
        <v>16</v>
      </c>
      <c r="N76" s="6"/>
    </row>
    <row r="77" customFormat="false" ht="15" hidden="false" customHeight="false" outlineLevel="0" collapsed="false">
      <c r="A77" s="4" t="s">
        <v>425</v>
      </c>
      <c r="B77" s="5" t="s">
        <v>412</v>
      </c>
      <c r="C77" s="5" t="s">
        <v>413</v>
      </c>
      <c r="D77" s="6" t="s">
        <v>426</v>
      </c>
      <c r="E77" s="6" t="s">
        <v>427</v>
      </c>
      <c r="F77" s="6" t="s">
        <v>428</v>
      </c>
      <c r="G77" s="6" t="s">
        <v>429</v>
      </c>
      <c r="H77" s="7" t="s">
        <v>418</v>
      </c>
      <c r="I77" s="7" t="s">
        <v>24</v>
      </c>
      <c r="J77" s="7" t="s">
        <v>25</v>
      </c>
      <c r="K77" s="7" t="s">
        <v>26</v>
      </c>
      <c r="L77" s="7" t="s">
        <v>66</v>
      </c>
      <c r="M77" s="7" t="n">
        <v>12</v>
      </c>
      <c r="N77" s="6" t="s">
        <v>430</v>
      </c>
    </row>
    <row r="78" customFormat="false" ht="15" hidden="false" customHeight="false" outlineLevel="0" collapsed="false">
      <c r="A78" s="4" t="s">
        <v>431</v>
      </c>
      <c r="B78" s="5" t="s">
        <v>412</v>
      </c>
      <c r="C78" s="5" t="s">
        <v>413</v>
      </c>
      <c r="D78" s="6" t="s">
        <v>432</v>
      </c>
      <c r="E78" s="6" t="s">
        <v>433</v>
      </c>
      <c r="F78" s="6" t="s">
        <v>434</v>
      </c>
      <c r="G78" s="6" t="s">
        <v>435</v>
      </c>
      <c r="H78" s="7" t="s">
        <v>85</v>
      </c>
      <c r="I78" s="7" t="s">
        <v>24</v>
      </c>
      <c r="J78" s="7" t="s">
        <v>66</v>
      </c>
      <c r="K78" s="7" t="s">
        <v>67</v>
      </c>
      <c r="L78" s="7" t="s">
        <v>66</v>
      </c>
      <c r="M78" s="7" t="n">
        <v>24</v>
      </c>
      <c r="N78" s="6" t="s">
        <v>436</v>
      </c>
    </row>
    <row r="79" customFormat="false" ht="15" hidden="false" customHeight="false" outlineLevel="0" collapsed="false">
      <c r="A79" s="4" t="s">
        <v>437</v>
      </c>
      <c r="B79" s="5" t="s">
        <v>438</v>
      </c>
      <c r="C79" s="5" t="s">
        <v>439</v>
      </c>
      <c r="D79" s="6" t="s">
        <v>440</v>
      </c>
      <c r="E79" s="6" t="s">
        <v>441</v>
      </c>
      <c r="F79" s="6" t="s">
        <v>442</v>
      </c>
      <c r="G79" s="6" t="s">
        <v>443</v>
      </c>
      <c r="H79" s="7" t="s">
        <v>85</v>
      </c>
      <c r="I79" s="7" t="s">
        <v>40</v>
      </c>
      <c r="J79" s="7" t="s">
        <v>25</v>
      </c>
      <c r="K79" s="7" t="s">
        <v>26</v>
      </c>
      <c r="L79" s="7" t="s">
        <v>25</v>
      </c>
      <c r="M79" s="7" t="n">
        <v>20</v>
      </c>
      <c r="N79" s="6" t="s">
        <v>444</v>
      </c>
    </row>
    <row r="80" customFormat="false" ht="15" hidden="false" customHeight="false" outlineLevel="0" collapsed="false">
      <c r="A80" s="4" t="s">
        <v>445</v>
      </c>
      <c r="B80" s="5" t="s">
        <v>438</v>
      </c>
      <c r="C80" s="5" t="s">
        <v>439</v>
      </c>
      <c r="D80" s="6" t="s">
        <v>446</v>
      </c>
      <c r="E80" s="6" t="s">
        <v>447</v>
      </c>
      <c r="F80" s="6" t="s">
        <v>448</v>
      </c>
      <c r="G80" s="6" t="s">
        <v>449</v>
      </c>
      <c r="H80" s="7" t="s">
        <v>85</v>
      </c>
      <c r="I80" s="7" t="s">
        <v>110</v>
      </c>
      <c r="J80" s="7" t="s">
        <v>66</v>
      </c>
      <c r="K80" s="7" t="s">
        <v>67</v>
      </c>
      <c r="L80" s="7" t="s">
        <v>66</v>
      </c>
      <c r="M80" s="7" t="n">
        <v>10</v>
      </c>
      <c r="N80" s="6"/>
    </row>
    <row r="81" customFormat="false" ht="15" hidden="false" customHeight="false" outlineLevel="0" collapsed="false">
      <c r="A81" s="4" t="s">
        <v>450</v>
      </c>
      <c r="B81" s="5" t="s">
        <v>451</v>
      </c>
      <c r="C81" s="5" t="s">
        <v>452</v>
      </c>
      <c r="D81" s="6" t="s">
        <v>453</v>
      </c>
      <c r="E81" s="6" t="s">
        <v>454</v>
      </c>
      <c r="F81" s="6" t="s">
        <v>455</v>
      </c>
      <c r="G81" s="6" t="s">
        <v>456</v>
      </c>
      <c r="H81" s="7" t="s">
        <v>418</v>
      </c>
      <c r="I81" s="7" t="s">
        <v>24</v>
      </c>
      <c r="J81" s="7" t="s">
        <v>25</v>
      </c>
      <c r="K81" s="7" t="s">
        <v>26</v>
      </c>
      <c r="L81" s="7" t="s">
        <v>25</v>
      </c>
      <c r="M81" s="7" t="n">
        <v>24</v>
      </c>
      <c r="N81" s="6" t="s">
        <v>457</v>
      </c>
    </row>
    <row r="82" customFormat="false" ht="15" hidden="false" customHeight="false" outlineLevel="0" collapsed="false">
      <c r="A82" s="4" t="s">
        <v>458</v>
      </c>
      <c r="B82" s="5" t="s">
        <v>451</v>
      </c>
      <c r="C82" s="5" t="s">
        <v>452</v>
      </c>
      <c r="D82" s="6" t="s">
        <v>459</v>
      </c>
      <c r="E82" s="6" t="s">
        <v>460</v>
      </c>
      <c r="F82" s="6" t="s">
        <v>461</v>
      </c>
      <c r="G82" s="6" t="s">
        <v>462</v>
      </c>
      <c r="H82" s="7" t="s">
        <v>85</v>
      </c>
      <c r="I82" s="7" t="s">
        <v>24</v>
      </c>
      <c r="J82" s="7" t="s">
        <v>25</v>
      </c>
      <c r="K82" s="7" t="s">
        <v>26</v>
      </c>
      <c r="L82" s="7" t="s">
        <v>25</v>
      </c>
      <c r="M82" s="7" t="n">
        <v>16</v>
      </c>
      <c r="N82" s="6" t="s">
        <v>463</v>
      </c>
    </row>
    <row r="83" customFormat="false" ht="15" hidden="false" customHeight="false" outlineLevel="0" collapsed="false">
      <c r="A83" s="4" t="s">
        <v>464</v>
      </c>
      <c r="B83" s="5" t="s">
        <v>451</v>
      </c>
      <c r="C83" s="5" t="s">
        <v>452</v>
      </c>
      <c r="D83" s="6" t="s">
        <v>465</v>
      </c>
      <c r="E83" s="6" t="s">
        <v>466</v>
      </c>
      <c r="F83" s="6" t="s">
        <v>467</v>
      </c>
      <c r="G83" s="6" t="s">
        <v>468</v>
      </c>
      <c r="H83" s="7" t="s">
        <v>469</v>
      </c>
      <c r="I83" s="7" t="s">
        <v>24</v>
      </c>
      <c r="J83" s="7" t="s">
        <v>66</v>
      </c>
      <c r="K83" s="7" t="s">
        <v>67</v>
      </c>
      <c r="L83" s="7" t="s">
        <v>66</v>
      </c>
      <c r="M83" s="7" t="n">
        <v>16</v>
      </c>
      <c r="N83" s="6"/>
    </row>
    <row r="84" customFormat="false" ht="15" hidden="false" customHeight="false" outlineLevel="0" collapsed="false">
      <c r="A84" s="4" t="s">
        <v>470</v>
      </c>
      <c r="B84" s="5" t="s">
        <v>451</v>
      </c>
      <c r="C84" s="5" t="s">
        <v>452</v>
      </c>
      <c r="D84" s="6" t="s">
        <v>471</v>
      </c>
      <c r="E84" s="6" t="s">
        <v>472</v>
      </c>
      <c r="F84" s="6" t="s">
        <v>473</v>
      </c>
      <c r="G84" s="6" t="s">
        <v>474</v>
      </c>
      <c r="H84" s="7" t="s">
        <v>85</v>
      </c>
      <c r="I84" s="7" t="s">
        <v>24</v>
      </c>
      <c r="J84" s="7" t="s">
        <v>25</v>
      </c>
      <c r="K84" s="7" t="s">
        <v>26</v>
      </c>
      <c r="L84" s="7" t="s">
        <v>66</v>
      </c>
      <c r="M84" s="7" t="n">
        <v>12</v>
      </c>
      <c r="N84" s="6"/>
    </row>
    <row r="85" customFormat="false" ht="15" hidden="false" customHeight="false" outlineLevel="0" collapsed="false">
      <c r="A85" s="4" t="s">
        <v>475</v>
      </c>
      <c r="B85" s="5" t="s">
        <v>476</v>
      </c>
      <c r="C85" s="5" t="s">
        <v>477</v>
      </c>
      <c r="D85" s="6" t="s">
        <v>478</v>
      </c>
      <c r="E85" s="6" t="s">
        <v>479</v>
      </c>
      <c r="F85" s="6" t="s">
        <v>480</v>
      </c>
      <c r="G85" s="6" t="s">
        <v>481</v>
      </c>
      <c r="H85" s="7" t="s">
        <v>85</v>
      </c>
      <c r="I85" s="7" t="s">
        <v>24</v>
      </c>
      <c r="J85" s="7" t="s">
        <v>25</v>
      </c>
      <c r="K85" s="7" t="s">
        <v>26</v>
      </c>
      <c r="L85" s="7" t="s">
        <v>25</v>
      </c>
      <c r="M85" s="7" t="n">
        <v>24</v>
      </c>
      <c r="N85" s="6"/>
    </row>
    <row r="86" customFormat="false" ht="15" hidden="false" customHeight="false" outlineLevel="0" collapsed="false">
      <c r="A86" s="4" t="s">
        <v>482</v>
      </c>
      <c r="B86" s="5" t="s">
        <v>476</v>
      </c>
      <c r="C86" s="5" t="s">
        <v>477</v>
      </c>
      <c r="D86" s="6" t="s">
        <v>483</v>
      </c>
      <c r="E86" s="6" t="s">
        <v>484</v>
      </c>
      <c r="F86" s="6" t="s">
        <v>485</v>
      </c>
      <c r="G86" s="6" t="s">
        <v>486</v>
      </c>
      <c r="H86" s="7" t="s">
        <v>85</v>
      </c>
      <c r="I86" s="7" t="s">
        <v>24</v>
      </c>
      <c r="J86" s="7" t="s">
        <v>25</v>
      </c>
      <c r="K86" s="7" t="s">
        <v>26</v>
      </c>
      <c r="L86" s="7" t="s">
        <v>25</v>
      </c>
      <c r="M86" s="7" t="n">
        <v>40</v>
      </c>
      <c r="N86" s="6" t="s">
        <v>487</v>
      </c>
    </row>
    <row r="87" customFormat="false" ht="15" hidden="false" customHeight="false" outlineLevel="0" collapsed="false">
      <c r="A87" s="4" t="s">
        <v>488</v>
      </c>
      <c r="B87" s="5" t="s">
        <v>476</v>
      </c>
      <c r="C87" s="5" t="s">
        <v>477</v>
      </c>
      <c r="D87" s="6" t="s">
        <v>489</v>
      </c>
      <c r="E87" s="6" t="s">
        <v>490</v>
      </c>
      <c r="F87" s="6" t="s">
        <v>491</v>
      </c>
      <c r="G87" s="6" t="s">
        <v>492</v>
      </c>
      <c r="H87" s="7" t="s">
        <v>418</v>
      </c>
      <c r="I87" s="7" t="s">
        <v>24</v>
      </c>
      <c r="J87" s="7" t="s">
        <v>25</v>
      </c>
      <c r="K87" s="7" t="s">
        <v>26</v>
      </c>
      <c r="L87" s="7" t="s">
        <v>25</v>
      </c>
      <c r="M87" s="7" t="n">
        <v>32</v>
      </c>
      <c r="N87" s="6"/>
    </row>
    <row r="88" customFormat="false" ht="15" hidden="false" customHeight="false" outlineLevel="0" collapsed="false">
      <c r="A88" s="4" t="s">
        <v>493</v>
      </c>
      <c r="B88" s="5" t="s">
        <v>476</v>
      </c>
      <c r="C88" s="5" t="s">
        <v>477</v>
      </c>
      <c r="D88" s="6" t="s">
        <v>494</v>
      </c>
      <c r="E88" s="6" t="s">
        <v>495</v>
      </c>
      <c r="F88" s="6" t="s">
        <v>496</v>
      </c>
      <c r="G88" s="6" t="s">
        <v>497</v>
      </c>
      <c r="H88" s="7" t="s">
        <v>418</v>
      </c>
      <c r="I88" s="7" t="s">
        <v>24</v>
      </c>
      <c r="J88" s="7" t="s">
        <v>25</v>
      </c>
      <c r="K88" s="7" t="s">
        <v>26</v>
      </c>
      <c r="L88" s="7" t="s">
        <v>25</v>
      </c>
      <c r="M88" s="7" t="n">
        <v>24</v>
      </c>
      <c r="N88" s="6"/>
    </row>
    <row r="89" customFormat="false" ht="15" hidden="false" customHeight="false" outlineLevel="0" collapsed="false">
      <c r="A89" s="4" t="s">
        <v>498</v>
      </c>
      <c r="B89" s="5" t="s">
        <v>476</v>
      </c>
      <c r="C89" s="5" t="s">
        <v>477</v>
      </c>
      <c r="D89" s="6" t="s">
        <v>499</v>
      </c>
      <c r="E89" s="6" t="s">
        <v>500</v>
      </c>
      <c r="F89" s="6" t="s">
        <v>501</v>
      </c>
      <c r="G89" s="6" t="s">
        <v>502</v>
      </c>
      <c r="H89" s="7" t="s">
        <v>85</v>
      </c>
      <c r="I89" s="7" t="s">
        <v>24</v>
      </c>
      <c r="J89" s="7" t="s">
        <v>25</v>
      </c>
      <c r="K89" s="7" t="s">
        <v>26</v>
      </c>
      <c r="L89" s="7" t="s">
        <v>25</v>
      </c>
      <c r="M89" s="7" t="n">
        <v>20</v>
      </c>
      <c r="N89" s="6"/>
    </row>
    <row r="90" customFormat="false" ht="15" hidden="false" customHeight="false" outlineLevel="0" collapsed="false">
      <c r="A90" s="4" t="s">
        <v>503</v>
      </c>
      <c r="B90" s="5" t="s">
        <v>476</v>
      </c>
      <c r="C90" s="5" t="s">
        <v>477</v>
      </c>
      <c r="D90" s="6" t="s">
        <v>504</v>
      </c>
      <c r="E90" s="6" t="s">
        <v>505</v>
      </c>
      <c r="F90" s="6" t="s">
        <v>506</v>
      </c>
      <c r="G90" s="6" t="s">
        <v>507</v>
      </c>
      <c r="H90" s="7" t="s">
        <v>418</v>
      </c>
      <c r="I90" s="7" t="s">
        <v>24</v>
      </c>
      <c r="J90" s="7" t="s">
        <v>66</v>
      </c>
      <c r="K90" s="7" t="s">
        <v>67</v>
      </c>
      <c r="L90" s="7" t="s">
        <v>66</v>
      </c>
      <c r="M90" s="7" t="n">
        <v>16</v>
      </c>
      <c r="N90" s="6"/>
    </row>
    <row r="91" customFormat="false" ht="15" hidden="false" customHeight="false" outlineLevel="0" collapsed="false">
      <c r="A91" s="4" t="s">
        <v>508</v>
      </c>
      <c r="B91" s="5" t="s">
        <v>476</v>
      </c>
      <c r="C91" s="5" t="s">
        <v>477</v>
      </c>
      <c r="D91" s="6" t="s">
        <v>509</v>
      </c>
      <c r="E91" s="6" t="s">
        <v>510</v>
      </c>
      <c r="F91" s="6" t="s">
        <v>511</v>
      </c>
      <c r="G91" s="6" t="s">
        <v>512</v>
      </c>
      <c r="H91" s="7" t="s">
        <v>85</v>
      </c>
      <c r="I91" s="7" t="s">
        <v>24</v>
      </c>
      <c r="J91" s="7" t="s">
        <v>265</v>
      </c>
      <c r="K91" s="7" t="s">
        <v>67</v>
      </c>
      <c r="L91" s="7" t="s">
        <v>265</v>
      </c>
      <c r="M91" s="7" t="n">
        <v>20</v>
      </c>
      <c r="N91" s="6"/>
    </row>
    <row r="92" customFormat="false" ht="15" hidden="false" customHeight="false" outlineLevel="0" collapsed="false">
      <c r="A92" s="4" t="s">
        <v>513</v>
      </c>
      <c r="B92" s="5" t="s">
        <v>514</v>
      </c>
      <c r="C92" s="5" t="s">
        <v>515</v>
      </c>
      <c r="D92" s="6" t="s">
        <v>516</v>
      </c>
      <c r="E92" s="6" t="s">
        <v>517</v>
      </c>
      <c r="F92" s="6" t="s">
        <v>518</v>
      </c>
      <c r="G92" s="6" t="s">
        <v>519</v>
      </c>
      <c r="H92" s="7" t="s">
        <v>85</v>
      </c>
      <c r="I92" s="7" t="s">
        <v>24</v>
      </c>
      <c r="J92" s="7" t="s">
        <v>66</v>
      </c>
      <c r="K92" s="7" t="s">
        <v>67</v>
      </c>
      <c r="L92" s="7" t="s">
        <v>66</v>
      </c>
      <c r="M92" s="7" t="n">
        <v>16</v>
      </c>
      <c r="N92" s="6" t="s">
        <v>520</v>
      </c>
    </row>
    <row r="93" customFormat="false" ht="15" hidden="false" customHeight="false" outlineLevel="0" collapsed="false">
      <c r="A93" s="4" t="s">
        <v>521</v>
      </c>
      <c r="B93" s="5" t="s">
        <v>514</v>
      </c>
      <c r="C93" s="5" t="s">
        <v>515</v>
      </c>
      <c r="D93" s="6" t="s">
        <v>522</v>
      </c>
      <c r="E93" s="6" t="s">
        <v>523</v>
      </c>
      <c r="F93" s="6" t="s">
        <v>524</v>
      </c>
      <c r="G93" s="6" t="s">
        <v>525</v>
      </c>
      <c r="H93" s="7" t="s">
        <v>85</v>
      </c>
      <c r="I93" s="7" t="s">
        <v>24</v>
      </c>
      <c r="J93" s="7" t="s">
        <v>66</v>
      </c>
      <c r="K93" s="7" t="s">
        <v>67</v>
      </c>
      <c r="L93" s="7" t="s">
        <v>66</v>
      </c>
      <c r="M93" s="7" t="n">
        <v>24</v>
      </c>
      <c r="N93" s="6" t="s">
        <v>526</v>
      </c>
    </row>
    <row r="94" customFormat="false" ht="15" hidden="false" customHeight="false" outlineLevel="0" collapsed="false">
      <c r="A94" s="4" t="s">
        <v>527</v>
      </c>
      <c r="B94" s="5" t="s">
        <v>514</v>
      </c>
      <c r="C94" s="5" t="s">
        <v>515</v>
      </c>
      <c r="D94" s="6" t="s">
        <v>528</v>
      </c>
      <c r="E94" s="6" t="s">
        <v>529</v>
      </c>
      <c r="F94" s="6" t="s">
        <v>530</v>
      </c>
      <c r="G94" s="6" t="s">
        <v>531</v>
      </c>
      <c r="H94" s="7" t="s">
        <v>85</v>
      </c>
      <c r="I94" s="7" t="s">
        <v>24</v>
      </c>
      <c r="J94" s="7" t="s">
        <v>66</v>
      </c>
      <c r="K94" s="7" t="s">
        <v>67</v>
      </c>
      <c r="L94" s="7" t="s">
        <v>66</v>
      </c>
      <c r="M94" s="7" t="n">
        <v>28</v>
      </c>
      <c r="N94" s="6"/>
    </row>
    <row r="95" customFormat="false" ht="15" hidden="false" customHeight="false" outlineLevel="0" collapsed="false">
      <c r="A95" s="4" t="s">
        <v>532</v>
      </c>
      <c r="B95" s="5" t="s">
        <v>514</v>
      </c>
      <c r="C95" s="5" t="s">
        <v>515</v>
      </c>
      <c r="D95" s="6" t="s">
        <v>533</v>
      </c>
      <c r="E95" s="6" t="s">
        <v>534</v>
      </c>
      <c r="F95" s="6" t="s">
        <v>535</v>
      </c>
      <c r="G95" s="6" t="s">
        <v>536</v>
      </c>
      <c r="H95" s="7" t="s">
        <v>85</v>
      </c>
      <c r="I95" s="7" t="s">
        <v>24</v>
      </c>
      <c r="J95" s="7" t="s">
        <v>265</v>
      </c>
      <c r="K95" s="7" t="s">
        <v>67</v>
      </c>
      <c r="L95" s="7" t="s">
        <v>265</v>
      </c>
      <c r="M95" s="7" t="n">
        <v>32</v>
      </c>
      <c r="N95" s="6"/>
    </row>
    <row r="96" customFormat="false" ht="22.35" hidden="false" customHeight="false" outlineLevel="0" collapsed="false">
      <c r="A96" s="4" t="s">
        <v>537</v>
      </c>
      <c r="B96" s="5" t="s">
        <v>538</v>
      </c>
      <c r="C96" s="5" t="s">
        <v>539</v>
      </c>
      <c r="D96" s="6" t="s">
        <v>540</v>
      </c>
      <c r="E96" s="6" t="s">
        <v>541</v>
      </c>
      <c r="F96" s="6" t="s">
        <v>542</v>
      </c>
      <c r="G96" s="6" t="s">
        <v>543</v>
      </c>
      <c r="H96" s="7" t="s">
        <v>418</v>
      </c>
      <c r="I96" s="7" t="s">
        <v>24</v>
      </c>
      <c r="J96" s="7" t="s">
        <v>25</v>
      </c>
      <c r="K96" s="7" t="s">
        <v>26</v>
      </c>
      <c r="L96" s="7" t="s">
        <v>27</v>
      </c>
      <c r="M96" s="7" t="n">
        <v>60</v>
      </c>
      <c r="N96" s="6"/>
    </row>
    <row r="97" customFormat="false" ht="22.35" hidden="false" customHeight="false" outlineLevel="0" collapsed="false">
      <c r="A97" s="4" t="s">
        <v>544</v>
      </c>
      <c r="B97" s="5" t="s">
        <v>538</v>
      </c>
      <c r="C97" s="5" t="s">
        <v>539</v>
      </c>
      <c r="D97" s="6" t="s">
        <v>545</v>
      </c>
      <c r="E97" s="6" t="s">
        <v>546</v>
      </c>
      <c r="F97" s="6" t="s">
        <v>547</v>
      </c>
      <c r="G97" s="6" t="s">
        <v>548</v>
      </c>
      <c r="H97" s="7" t="s">
        <v>418</v>
      </c>
      <c r="I97" s="7" t="s">
        <v>24</v>
      </c>
      <c r="J97" s="7" t="s">
        <v>25</v>
      </c>
      <c r="K97" s="7" t="s">
        <v>26</v>
      </c>
      <c r="L97" s="7" t="s">
        <v>27</v>
      </c>
      <c r="M97" s="7" t="n">
        <v>40</v>
      </c>
      <c r="N97" s="6"/>
    </row>
    <row r="98" customFormat="false" ht="22.35" hidden="false" customHeight="false" outlineLevel="0" collapsed="false">
      <c r="A98" s="4" t="s">
        <v>549</v>
      </c>
      <c r="B98" s="5" t="s">
        <v>538</v>
      </c>
      <c r="C98" s="5" t="s">
        <v>539</v>
      </c>
      <c r="D98" s="6" t="s">
        <v>550</v>
      </c>
      <c r="E98" s="6" t="s">
        <v>551</v>
      </c>
      <c r="F98" s="6" t="s">
        <v>552</v>
      </c>
      <c r="G98" s="6" t="s">
        <v>553</v>
      </c>
      <c r="H98" s="7" t="s">
        <v>418</v>
      </c>
      <c r="I98" s="7" t="s">
        <v>24</v>
      </c>
      <c r="J98" s="7" t="s">
        <v>25</v>
      </c>
      <c r="K98" s="7" t="s">
        <v>26</v>
      </c>
      <c r="L98" s="7" t="s">
        <v>27</v>
      </c>
      <c r="M98" s="7" t="n">
        <v>32</v>
      </c>
      <c r="N98" s="6" t="s">
        <v>554</v>
      </c>
    </row>
    <row r="99" customFormat="false" ht="22.35" hidden="false" customHeight="false" outlineLevel="0" collapsed="false">
      <c r="A99" s="4" t="s">
        <v>555</v>
      </c>
      <c r="B99" s="5" t="s">
        <v>538</v>
      </c>
      <c r="C99" s="5" t="s">
        <v>539</v>
      </c>
      <c r="D99" s="6" t="s">
        <v>556</v>
      </c>
      <c r="E99" s="6" t="s">
        <v>557</v>
      </c>
      <c r="F99" s="6" t="s">
        <v>558</v>
      </c>
      <c r="G99" s="6" t="s">
        <v>559</v>
      </c>
      <c r="H99" s="7" t="s">
        <v>418</v>
      </c>
      <c r="I99" s="7" t="s">
        <v>24</v>
      </c>
      <c r="J99" s="7" t="s">
        <v>25</v>
      </c>
      <c r="K99" s="7" t="s">
        <v>26</v>
      </c>
      <c r="L99" s="7" t="s">
        <v>27</v>
      </c>
      <c r="M99" s="7" t="n">
        <v>32</v>
      </c>
      <c r="N99" s="6"/>
    </row>
    <row r="100" customFormat="false" ht="22.35" hidden="false" customHeight="false" outlineLevel="0" collapsed="false">
      <c r="A100" s="4" t="s">
        <v>560</v>
      </c>
      <c r="B100" s="5" t="s">
        <v>538</v>
      </c>
      <c r="C100" s="5" t="s">
        <v>539</v>
      </c>
      <c r="D100" s="6" t="s">
        <v>561</v>
      </c>
      <c r="E100" s="6" t="s">
        <v>562</v>
      </c>
      <c r="F100" s="6" t="s">
        <v>563</v>
      </c>
      <c r="G100" s="6" t="s">
        <v>564</v>
      </c>
      <c r="H100" s="7" t="s">
        <v>418</v>
      </c>
      <c r="I100" s="7" t="s">
        <v>110</v>
      </c>
      <c r="J100" s="7" t="s">
        <v>25</v>
      </c>
      <c r="K100" s="7" t="s">
        <v>26</v>
      </c>
      <c r="L100" s="7" t="s">
        <v>25</v>
      </c>
      <c r="M100" s="7" t="n">
        <v>16</v>
      </c>
      <c r="N100" s="6"/>
    </row>
    <row r="101" customFormat="false" ht="22.35" hidden="false" customHeight="false" outlineLevel="0" collapsed="false">
      <c r="A101" s="4" t="s">
        <v>565</v>
      </c>
      <c r="B101" s="5" t="s">
        <v>538</v>
      </c>
      <c r="C101" s="5" t="s">
        <v>539</v>
      </c>
      <c r="D101" s="6" t="s">
        <v>566</v>
      </c>
      <c r="E101" s="6" t="s">
        <v>567</v>
      </c>
      <c r="F101" s="6" t="s">
        <v>568</v>
      </c>
      <c r="G101" s="6" t="s">
        <v>569</v>
      </c>
      <c r="H101" s="7" t="s">
        <v>418</v>
      </c>
      <c r="I101" s="7" t="s">
        <v>110</v>
      </c>
      <c r="J101" s="7" t="s">
        <v>25</v>
      </c>
      <c r="K101" s="7" t="s">
        <v>26</v>
      </c>
      <c r="L101" s="7" t="s">
        <v>25</v>
      </c>
      <c r="M101" s="7" t="n">
        <v>20</v>
      </c>
      <c r="N101" s="6"/>
    </row>
    <row r="102" customFormat="false" ht="22.35" hidden="false" customHeight="false" outlineLevel="0" collapsed="false">
      <c r="A102" s="4" t="s">
        <v>570</v>
      </c>
      <c r="B102" s="5" t="s">
        <v>538</v>
      </c>
      <c r="C102" s="5" t="s">
        <v>539</v>
      </c>
      <c r="D102" s="6" t="s">
        <v>571</v>
      </c>
      <c r="E102" s="6" t="s">
        <v>572</v>
      </c>
      <c r="F102" s="6" t="s">
        <v>573</v>
      </c>
      <c r="G102" s="6" t="s">
        <v>574</v>
      </c>
      <c r="H102" s="7" t="s">
        <v>418</v>
      </c>
      <c r="I102" s="7" t="s">
        <v>110</v>
      </c>
      <c r="J102" s="7" t="s">
        <v>66</v>
      </c>
      <c r="K102" s="7" t="s">
        <v>67</v>
      </c>
      <c r="L102" s="7" t="s">
        <v>66</v>
      </c>
      <c r="M102" s="7" t="n">
        <v>8</v>
      </c>
      <c r="N102" s="6"/>
    </row>
    <row r="103" customFormat="false" ht="22.35" hidden="false" customHeight="false" outlineLevel="0" collapsed="false">
      <c r="A103" s="4" t="s">
        <v>575</v>
      </c>
      <c r="B103" s="5" t="s">
        <v>538</v>
      </c>
      <c r="C103" s="5" t="s">
        <v>539</v>
      </c>
      <c r="D103" s="6" t="s">
        <v>576</v>
      </c>
      <c r="E103" s="6" t="s">
        <v>577</v>
      </c>
      <c r="F103" s="6" t="s">
        <v>578</v>
      </c>
      <c r="G103" s="6" t="s">
        <v>579</v>
      </c>
      <c r="H103" s="7" t="s">
        <v>418</v>
      </c>
      <c r="I103" s="7" t="s">
        <v>110</v>
      </c>
      <c r="J103" s="7" t="s">
        <v>25</v>
      </c>
      <c r="K103" s="7" t="s">
        <v>26</v>
      </c>
      <c r="L103" s="7" t="s">
        <v>25</v>
      </c>
      <c r="M103" s="7" t="n">
        <v>16</v>
      </c>
      <c r="N103" s="6"/>
    </row>
    <row r="104" customFormat="false" ht="22.35" hidden="false" customHeight="false" outlineLevel="0" collapsed="false">
      <c r="A104" s="4" t="s">
        <v>580</v>
      </c>
      <c r="B104" s="5" t="s">
        <v>538</v>
      </c>
      <c r="C104" s="5" t="s">
        <v>539</v>
      </c>
      <c r="D104" s="6" t="s">
        <v>581</v>
      </c>
      <c r="E104" s="6" t="s">
        <v>582</v>
      </c>
      <c r="F104" s="6" t="s">
        <v>583</v>
      </c>
      <c r="G104" s="6" t="s">
        <v>584</v>
      </c>
      <c r="H104" s="7" t="s">
        <v>585</v>
      </c>
      <c r="I104" s="7" t="s">
        <v>110</v>
      </c>
      <c r="J104" s="7" t="s">
        <v>66</v>
      </c>
      <c r="K104" s="7" t="s">
        <v>67</v>
      </c>
      <c r="L104" s="7" t="s">
        <v>66</v>
      </c>
      <c r="M104" s="7" t="n">
        <v>60</v>
      </c>
      <c r="N104" s="6" t="s">
        <v>586</v>
      </c>
    </row>
    <row r="105" customFormat="false" ht="22.35" hidden="false" customHeight="false" outlineLevel="0" collapsed="false">
      <c r="A105" s="4" t="s">
        <v>587</v>
      </c>
      <c r="B105" s="5" t="s">
        <v>538</v>
      </c>
      <c r="C105" s="5" t="s">
        <v>539</v>
      </c>
      <c r="D105" s="6" t="s">
        <v>588</v>
      </c>
      <c r="E105" s="6" t="s">
        <v>589</v>
      </c>
      <c r="F105" s="6" t="s">
        <v>590</v>
      </c>
      <c r="G105" s="6" t="s">
        <v>591</v>
      </c>
      <c r="H105" s="7" t="s">
        <v>418</v>
      </c>
      <c r="I105" s="7" t="s">
        <v>24</v>
      </c>
      <c r="J105" s="7" t="s">
        <v>25</v>
      </c>
      <c r="K105" s="7" t="s">
        <v>26</v>
      </c>
      <c r="L105" s="7" t="s">
        <v>66</v>
      </c>
      <c r="M105" s="7" t="n">
        <v>20</v>
      </c>
      <c r="N105" s="6" t="s">
        <v>592</v>
      </c>
    </row>
    <row r="106" customFormat="false" ht="22.35" hidden="false" customHeight="false" outlineLevel="0" collapsed="false">
      <c r="A106" s="4" t="s">
        <v>593</v>
      </c>
      <c r="B106" s="5" t="s">
        <v>538</v>
      </c>
      <c r="C106" s="5" t="s">
        <v>539</v>
      </c>
      <c r="D106" s="6" t="s">
        <v>594</v>
      </c>
      <c r="E106" s="6" t="s">
        <v>595</v>
      </c>
      <c r="F106" s="6" t="s">
        <v>596</v>
      </c>
      <c r="G106" s="6" t="s">
        <v>597</v>
      </c>
      <c r="H106" s="7" t="s">
        <v>418</v>
      </c>
      <c r="I106" s="7" t="s">
        <v>24</v>
      </c>
      <c r="J106" s="7" t="s">
        <v>25</v>
      </c>
      <c r="K106" s="7" t="s">
        <v>26</v>
      </c>
      <c r="L106" s="7" t="s">
        <v>66</v>
      </c>
      <c r="M106" s="7" t="n">
        <v>12</v>
      </c>
      <c r="N106" s="6" t="s">
        <v>598</v>
      </c>
    </row>
    <row r="107" customFormat="false" ht="22.35" hidden="false" customHeight="false" outlineLevel="0" collapsed="false">
      <c r="A107" s="4" t="s">
        <v>599</v>
      </c>
      <c r="B107" s="5" t="s">
        <v>538</v>
      </c>
      <c r="C107" s="5" t="s">
        <v>539</v>
      </c>
      <c r="D107" s="6" t="s">
        <v>600</v>
      </c>
      <c r="E107" s="6" t="s">
        <v>601</v>
      </c>
      <c r="F107" s="6" t="s">
        <v>602</v>
      </c>
      <c r="G107" s="6" t="s">
        <v>603</v>
      </c>
      <c r="H107" s="7" t="s">
        <v>418</v>
      </c>
      <c r="I107" s="7" t="s">
        <v>24</v>
      </c>
      <c r="J107" s="7" t="s">
        <v>25</v>
      </c>
      <c r="K107" s="7" t="s">
        <v>26</v>
      </c>
      <c r="L107" s="7" t="s">
        <v>25</v>
      </c>
      <c r="M107" s="7" t="n">
        <v>24</v>
      </c>
      <c r="N107" s="6"/>
    </row>
    <row r="108" customFormat="false" ht="22.35" hidden="false" customHeight="false" outlineLevel="0" collapsed="false">
      <c r="A108" s="4" t="s">
        <v>604</v>
      </c>
      <c r="B108" s="5" t="s">
        <v>538</v>
      </c>
      <c r="C108" s="5" t="s">
        <v>539</v>
      </c>
      <c r="D108" s="6" t="s">
        <v>605</v>
      </c>
      <c r="E108" s="6" t="s">
        <v>606</v>
      </c>
      <c r="F108" s="6" t="s">
        <v>607</v>
      </c>
      <c r="G108" s="6" t="s">
        <v>608</v>
      </c>
      <c r="H108" s="7" t="s">
        <v>418</v>
      </c>
      <c r="I108" s="7" t="s">
        <v>24</v>
      </c>
      <c r="J108" s="7" t="s">
        <v>25</v>
      </c>
      <c r="K108" s="7" t="s">
        <v>26</v>
      </c>
      <c r="L108" s="7" t="s">
        <v>25</v>
      </c>
      <c r="M108" s="7" t="n">
        <v>20</v>
      </c>
      <c r="N108" s="6"/>
    </row>
    <row r="109" customFormat="false" ht="22.35" hidden="false" customHeight="false" outlineLevel="0" collapsed="false">
      <c r="A109" s="4" t="s">
        <v>609</v>
      </c>
      <c r="B109" s="5" t="s">
        <v>610</v>
      </c>
      <c r="C109" s="5" t="s">
        <v>611</v>
      </c>
      <c r="D109" s="6" t="s">
        <v>612</v>
      </c>
      <c r="E109" s="6" t="s">
        <v>613</v>
      </c>
      <c r="F109" s="6" t="s">
        <v>614</v>
      </c>
      <c r="G109" s="6" t="s">
        <v>615</v>
      </c>
      <c r="H109" s="7" t="s">
        <v>418</v>
      </c>
      <c r="I109" s="7" t="s">
        <v>24</v>
      </c>
      <c r="J109" s="7" t="s">
        <v>25</v>
      </c>
      <c r="K109" s="7" t="s">
        <v>26</v>
      </c>
      <c r="L109" s="7" t="s">
        <v>25</v>
      </c>
      <c r="M109" s="7" t="n">
        <v>24</v>
      </c>
      <c r="N109" s="6"/>
    </row>
    <row r="110" customFormat="false" ht="22.35" hidden="false" customHeight="false" outlineLevel="0" collapsed="false">
      <c r="A110" s="4" t="s">
        <v>616</v>
      </c>
      <c r="B110" s="5" t="s">
        <v>610</v>
      </c>
      <c r="C110" s="5" t="s">
        <v>611</v>
      </c>
      <c r="D110" s="6" t="s">
        <v>617</v>
      </c>
      <c r="E110" s="6" t="s">
        <v>618</v>
      </c>
      <c r="F110" s="6" t="s">
        <v>619</v>
      </c>
      <c r="G110" s="6" t="s">
        <v>620</v>
      </c>
      <c r="H110" s="7" t="s">
        <v>85</v>
      </c>
      <c r="I110" s="7" t="s">
        <v>110</v>
      </c>
      <c r="J110" s="7" t="s">
        <v>25</v>
      </c>
      <c r="K110" s="7" t="s">
        <v>26</v>
      </c>
      <c r="L110" s="7" t="s">
        <v>25</v>
      </c>
      <c r="M110" s="7" t="n">
        <v>6</v>
      </c>
      <c r="N110" s="6"/>
    </row>
    <row r="111" customFormat="false" ht="22.35" hidden="false" customHeight="false" outlineLevel="0" collapsed="false">
      <c r="A111" s="4" t="s">
        <v>621</v>
      </c>
      <c r="B111" s="5" t="s">
        <v>610</v>
      </c>
      <c r="C111" s="5" t="s">
        <v>611</v>
      </c>
      <c r="D111" s="6" t="s">
        <v>622</v>
      </c>
      <c r="E111" s="6" t="s">
        <v>623</v>
      </c>
      <c r="F111" s="6" t="s">
        <v>624</v>
      </c>
      <c r="G111" s="6" t="s">
        <v>625</v>
      </c>
      <c r="H111" s="7" t="s">
        <v>418</v>
      </c>
      <c r="I111" s="7" t="s">
        <v>24</v>
      </c>
      <c r="J111" s="7" t="s">
        <v>25</v>
      </c>
      <c r="K111" s="7" t="s">
        <v>26</v>
      </c>
      <c r="L111" s="7" t="s">
        <v>25</v>
      </c>
      <c r="M111" s="7" t="n">
        <v>20</v>
      </c>
      <c r="N111" s="6"/>
    </row>
    <row r="112" customFormat="false" ht="22.35" hidden="false" customHeight="false" outlineLevel="0" collapsed="false">
      <c r="A112" s="4" t="s">
        <v>626</v>
      </c>
      <c r="B112" s="5" t="s">
        <v>610</v>
      </c>
      <c r="C112" s="5" t="s">
        <v>611</v>
      </c>
      <c r="D112" s="6" t="s">
        <v>627</v>
      </c>
      <c r="E112" s="6" t="s">
        <v>628</v>
      </c>
      <c r="F112" s="6" t="s">
        <v>629</v>
      </c>
      <c r="G112" s="6" t="s">
        <v>630</v>
      </c>
      <c r="H112" s="7" t="s">
        <v>23</v>
      </c>
      <c r="I112" s="7" t="s">
        <v>24</v>
      </c>
      <c r="J112" s="7" t="s">
        <v>66</v>
      </c>
      <c r="K112" s="7" t="s">
        <v>67</v>
      </c>
      <c r="L112" s="7" t="s">
        <v>66</v>
      </c>
      <c r="M112" s="7" t="n">
        <v>16</v>
      </c>
      <c r="N112" s="6"/>
    </row>
    <row r="113" customFormat="false" ht="22.35" hidden="false" customHeight="false" outlineLevel="0" collapsed="false">
      <c r="A113" s="4" t="s">
        <v>631</v>
      </c>
      <c r="B113" s="5" t="s">
        <v>610</v>
      </c>
      <c r="C113" s="5" t="s">
        <v>611</v>
      </c>
      <c r="D113" s="6" t="s">
        <v>632</v>
      </c>
      <c r="E113" s="6" t="s">
        <v>633</v>
      </c>
      <c r="F113" s="6" t="s">
        <v>634</v>
      </c>
      <c r="G113" s="6" t="s">
        <v>635</v>
      </c>
      <c r="H113" s="7" t="s">
        <v>418</v>
      </c>
      <c r="I113" s="7" t="s">
        <v>24</v>
      </c>
      <c r="J113" s="7" t="s">
        <v>25</v>
      </c>
      <c r="K113" s="7" t="s">
        <v>26</v>
      </c>
      <c r="L113" s="7" t="s">
        <v>25</v>
      </c>
      <c r="M113" s="7" t="n">
        <v>40</v>
      </c>
      <c r="N113" s="6"/>
    </row>
    <row r="114" customFormat="false" ht="15" hidden="false" customHeight="false" outlineLevel="0" collapsed="false">
      <c r="L114" s="8" t="s">
        <v>636</v>
      </c>
      <c r="M114" s="9" t="n">
        <f aca="false">SUM(M5:M113)</f>
        <v>2430</v>
      </c>
    </row>
  </sheetData>
  <autoFilter ref="A4:N1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0" t="s">
        <v>637</v>
      </c>
    </row>
    <row r="3" customFormat="false" ht="15" hidden="false" customHeight="false" outlineLevel="0" collapsed="false">
      <c r="A3" s="11" t="s">
        <v>11</v>
      </c>
      <c r="B3" s="11" t="s">
        <v>638</v>
      </c>
      <c r="C3" s="11" t="s">
        <v>14</v>
      </c>
      <c r="E3" s="11" t="s">
        <v>12</v>
      </c>
      <c r="F3" s="11" t="s">
        <v>638</v>
      </c>
      <c r="G3" s="11" t="s">
        <v>14</v>
      </c>
    </row>
    <row r="4" customFormat="false" ht="15" hidden="false" customHeight="false" outlineLevel="0" collapsed="false">
      <c r="A4" s="12" t="s">
        <v>25</v>
      </c>
      <c r="B4" s="12" t="n">
        <f aca="false">COUNTIF('Function List'!J5:J113,A4)</f>
        <v>78</v>
      </c>
      <c r="C4" s="12" t="n">
        <f aca="false">SUMIF('Function List'!J5:J113,A4,'Function List'!M5:M113)</f>
        <v>1792</v>
      </c>
      <c r="E4" s="12" t="s">
        <v>26</v>
      </c>
      <c r="F4" s="12" t="n">
        <f aca="false">COUNTIF('Function List'!K5:K113,E4)</f>
        <v>78</v>
      </c>
      <c r="G4" s="12" t="n">
        <f aca="false">SUMIF('Function List'!K5:K113,E4,'Function List'!M5:M113)</f>
        <v>1792</v>
      </c>
    </row>
    <row r="5" customFormat="false" ht="15" hidden="false" customHeight="false" outlineLevel="0" collapsed="false">
      <c r="A5" s="12" t="s">
        <v>66</v>
      </c>
      <c r="B5" s="12" t="n">
        <f aca="false">COUNTIF('Function List'!J5:J113,A5)</f>
        <v>28</v>
      </c>
      <c r="C5" s="12" t="n">
        <f aca="false">SUMIF('Function List'!J5:J113,A5,'Function List'!M5:M113)</f>
        <v>574</v>
      </c>
      <c r="E5" s="12" t="s">
        <v>67</v>
      </c>
      <c r="F5" s="12" t="n">
        <f aca="false">COUNTIF('Function List'!K5:K113,E5)</f>
        <v>31</v>
      </c>
      <c r="G5" s="12" t="n">
        <f aca="false">SUMIF('Function List'!K5:K113,E5,'Function List'!M5:M113)</f>
        <v>638</v>
      </c>
    </row>
    <row r="6" customFormat="false" ht="15" hidden="false" customHeight="false" outlineLevel="0" collapsed="false">
      <c r="A6" s="12" t="s">
        <v>265</v>
      </c>
      <c r="B6" s="12" t="n">
        <f aca="false">COUNTIF('Function List'!J5:J113,A6)</f>
        <v>3</v>
      </c>
      <c r="C6" s="12" t="n">
        <f aca="false">SUMIF('Function List'!J5:J113,A6,'Function List'!M5:M113)</f>
        <v>64</v>
      </c>
    </row>
    <row r="7" customFormat="false" ht="15" hidden="false" customHeight="false" outlineLevel="0" collapsed="false">
      <c r="A7" s="13" t="s">
        <v>636</v>
      </c>
      <c r="B7" s="13" t="n">
        <f aca="false">SUM(B4:B6)</f>
        <v>109</v>
      </c>
      <c r="C7" s="13" t="n">
        <f aca="false">SUM(C4:C6)</f>
        <v>2430</v>
      </c>
    </row>
    <row r="10" customFormat="false" ht="15" hidden="false" customHeight="false" outlineLevel="0" collapsed="false">
      <c r="A10" s="11" t="s">
        <v>10</v>
      </c>
      <c r="B10" s="11" t="s">
        <v>638</v>
      </c>
      <c r="C10" s="11" t="s">
        <v>14</v>
      </c>
    </row>
    <row r="11" customFormat="false" ht="15" hidden="false" customHeight="false" outlineLevel="0" collapsed="false">
      <c r="A11" s="12" t="s">
        <v>110</v>
      </c>
      <c r="B11" s="12" t="n">
        <f aca="false">COUNTIF('Function List'!I5:I113,A11)</f>
        <v>43</v>
      </c>
      <c r="C11" s="12" t="n">
        <f aca="false">SUMIF('Function List'!I5:I113,A11,'Function List'!M5:M113)</f>
        <v>816</v>
      </c>
    </row>
    <row r="12" customFormat="false" ht="15" hidden="false" customHeight="false" outlineLevel="0" collapsed="false">
      <c r="A12" s="12" t="s">
        <v>40</v>
      </c>
      <c r="B12" s="12" t="n">
        <f aca="false">COUNTIF('Function List'!I5:I113,A12)</f>
        <v>14</v>
      </c>
      <c r="C12" s="12" t="n">
        <f aca="false">SUMIF('Function List'!I5:I113,A12,'Function List'!M5:M113)</f>
        <v>352</v>
      </c>
    </row>
    <row r="13" customFormat="false" ht="15" hidden="false" customHeight="false" outlineLevel="0" collapsed="false">
      <c r="A13" s="12" t="s">
        <v>24</v>
      </c>
      <c r="B13" s="12" t="n">
        <f aca="false">COUNTIF('Function List'!I5:I113,A13)</f>
        <v>52</v>
      </c>
      <c r="C13" s="12" t="n">
        <f aca="false">SUMIF('Function List'!I5:I113,A13,'Function List'!M5:M113)</f>
        <v>1262</v>
      </c>
    </row>
    <row r="14" customFormat="false" ht="15" hidden="false" customHeight="false" outlineLevel="0" collapsed="false">
      <c r="A14" s="12" t="s">
        <v>639</v>
      </c>
      <c r="B14" s="12" t="n">
        <f aca="false">COUNTIF('Function List'!I5:I113,A14)</f>
        <v>0</v>
      </c>
      <c r="C14" s="12" t="n">
        <f aca="false">SUMIF('Function List'!I5:I113,A14,'Function List'!M5:M113)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0" t="s">
        <v>640</v>
      </c>
    </row>
    <row r="3" customFormat="false" ht="15" hidden="false" customHeight="false" outlineLevel="0" collapsed="false">
      <c r="A3" s="14" t="s">
        <v>641</v>
      </c>
      <c r="B3" s="14" t="s">
        <v>642</v>
      </c>
    </row>
    <row r="4" customFormat="false" ht="22.35" hidden="false" customHeight="false" outlineLevel="0" collapsed="false">
      <c r="A4" s="15" t="s">
        <v>643</v>
      </c>
      <c r="B4" s="6" t="s">
        <v>644</v>
      </c>
    </row>
    <row r="5" customFormat="false" ht="22.35" hidden="false" customHeight="false" outlineLevel="0" collapsed="false">
      <c r="A5" s="15" t="s">
        <v>645</v>
      </c>
      <c r="B5" s="6" t="s">
        <v>646</v>
      </c>
    </row>
    <row r="6" customFormat="false" ht="22.35" hidden="false" customHeight="false" outlineLevel="0" collapsed="false">
      <c r="A6" s="15" t="s">
        <v>647</v>
      </c>
      <c r="B6" s="6" t="s">
        <v>648</v>
      </c>
    </row>
    <row r="7" customFormat="false" ht="22.35" hidden="false" customHeight="false" outlineLevel="0" collapsed="false">
      <c r="A7" s="15" t="s">
        <v>649</v>
      </c>
      <c r="B7" s="6" t="s">
        <v>650</v>
      </c>
    </row>
    <row r="8" customFormat="false" ht="22.35" hidden="false" customHeight="false" outlineLevel="0" collapsed="false">
      <c r="A8" s="15" t="s">
        <v>651</v>
      </c>
      <c r="B8" s="6" t="s">
        <v>652</v>
      </c>
    </row>
    <row r="9" customFormat="false" ht="22.35" hidden="false" customHeight="false" outlineLevel="0" collapsed="false">
      <c r="A9" s="15" t="s">
        <v>639</v>
      </c>
      <c r="B9" s="6" t="s">
        <v>653</v>
      </c>
    </row>
    <row r="10" customFormat="false" ht="15" hidden="false" customHeight="false" outlineLevel="0" collapsed="false">
      <c r="A10" s="15" t="s">
        <v>654</v>
      </c>
      <c r="B10" s="6" t="s">
        <v>655</v>
      </c>
    </row>
    <row r="11" customFormat="false" ht="15" hidden="false" customHeight="false" outlineLevel="0" collapsed="false">
      <c r="A11" s="15" t="s">
        <v>656</v>
      </c>
      <c r="B11" s="6" t="s">
        <v>657</v>
      </c>
    </row>
    <row r="12" customFormat="false" ht="22.35" hidden="false" customHeight="false" outlineLevel="0" collapsed="false">
      <c r="A12" s="15" t="s">
        <v>658</v>
      </c>
      <c r="B12" s="6" t="s">
        <v>659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2026-06-11T17:24:13Z</dcterms:created>
  <dc:creator>openpyxl</dc:creator>
  <dc:description/>
  <dc:language>en-US</dc:language>
  <cp:lastModifiedBy/>
  <dcterms:modified xsi:type="dcterms:W3CDTF">2026-06-11T17:24:13Z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